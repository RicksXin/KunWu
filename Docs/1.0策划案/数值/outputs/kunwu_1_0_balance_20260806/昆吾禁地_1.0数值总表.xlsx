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6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7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8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worksheets/sheet9.xml" ContentType="application/vnd.openxmlformats-officedocument.spreadsheetml.worksheet+xml"/>
  <Override PartName="/xl/tables/table36.xml" ContentType="application/vnd.openxmlformats-officedocument.spreadsheetml.table+xml"/>
  <Override PartName="/xl/worksheets/sheet10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11.xml" ContentType="application/vnd.openxmlformats-officedocument.spreadsheetml.worksheet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12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13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worksheets/sheet14.xml" ContentType="application/vnd.openxmlformats-officedocument.spreadsheetml.worksheet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b3a965e34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07abb66315394f0e"/>
    <x:sheet xmlns:r="http://schemas.openxmlformats.org/officeDocument/2006/relationships" name="01_关键参数" sheetId="2" r:id="R9ceabd11a1f14907"/>
    <x:sheet xmlns:r="http://schemas.openxmlformats.org/officeDocument/2006/relationships" name="02_等级成长" sheetId="3" r:id="R7681ebb940624fbc"/>
    <x:sheet xmlns:r="http://schemas.openxmlformats.org/officeDocument/2006/relationships" name="03_七维成长" sheetId="4" r:id="Rc2a868a32aab4bd9"/>
    <x:sheet xmlns:r="http://schemas.openxmlformats.org/officeDocument/2006/relationships" name="04_战斗经济" sheetId="5" r:id="Rf2c4532a74fe42e8"/>
    <x:sheet xmlns:r="http://schemas.openxmlformats.org/officeDocument/2006/relationships" name="05_职业技能" sheetId="6" r:id="Rb362b8e222df45f1"/>
    <x:sheet xmlns:r="http://schemas.openxmlformats.org/officeDocument/2006/relationships" name="06_装备基础" sheetId="7" r:id="R7e575ce42e674b38"/>
    <x:sheet xmlns:r="http://schemas.openxmlformats.org/officeDocument/2006/relationships" name="07_特定装备" sheetId="8" r:id="Rbcde341828bd4b08"/>
    <x:sheet xmlns:r="http://schemas.openxmlformats.org/officeDocument/2006/relationships" name="08_敌人" sheetId="9" r:id="R857dc3845eae4e73"/>
    <x:sheet xmlns:r="http://schemas.openxmlformats.org/officeDocument/2006/relationships" name="09_Boss" sheetId="10" r:id="R0cc9d455d8b94db6"/>
    <x:sheet xmlns:r="http://schemas.openxmlformats.org/officeDocument/2006/relationships" name="10_炼器" sheetId="11" r:id="Rb94ea82c58ff4ad1"/>
    <x:sheet xmlns:r="http://schemas.openxmlformats.org/officeDocument/2006/relationships" name="11_材料" sheetId="12" r:id="Re5c0a37380344bd8"/>
    <x:sheet xmlns:r="http://schemas.openxmlformats.org/officeDocument/2006/relationships" name="12_后勤" sheetId="13" r:id="R3432106faea94035"/>
    <x:sheet xmlns:r="http://schemas.openxmlformats.org/officeDocument/2006/relationships" name="13_资源副本" sheetId="14" r:id="R4d3d6455da0f4913"/>
  </x:sheets>
</x:workbook>
</file>

<file path=xl/sharedStrings.xml><?xml version="1.0" encoding="utf-8"?>
<x:sst xmlns:x="http://schemas.openxmlformats.org/spreadsheetml/2006/main">
  <x:si>
    <x:t xml:space="preserve">《昆吾禁地》1.0 数值总表</x:t>
  </x:si>
  <x:si>
    <x:t xml:space="preserve">版本 1.0-balance.1｜生成日期 2026-08-06｜规则文字以 Markdown 策划为事实源，本工作簿用于集中调参与核算</x:t>
  </x:si>
  <x:si>
    <x:t xml:space="preserve">使用说明</x:t>
  </x:si>
  <x:si>
    <x:t xml:space="preserve">金色单元格＝策划输入；绿色单元格＝公式派生；灰色单元格＝来源与说明</x:t>
  </x:si>
  <x:si>
    <x:t xml:space="preserve">工作表</x:t>
  </x:si>
  <x:si>
    <x:t xml:space="preserve">内容</x:t>
  </x:si>
  <x:si>
    <x:t xml:space="preserve">使用要点</x:t>
  </x:si>
  <x:si>
    <x:t xml:space="preserve">01_关键参数</x:t>
  </x:si>
  <x:si>
    <x:t xml:space="preserve">核心常量与自动一致性检查</x:t>
  </x:si>
  <x:si>
    <x:t xml:space="preserve">先看状态列；调整输入后复核所有公式</x:t>
  </x:si>
  <x:si>
    <x:t xml:space="preserve">02_等级成长</x:t>
  </x:si>
  <x:si>
    <x:t xml:space="preserve">Lv1–30 魂晶曲线、境界与突破成本</x:t>
  </x:si>
  <x:si>
    <x:t xml:space="preserve">累计魂晶和四人总成本由公式计算</x:t>
  </x:si>
  <x:si>
    <x:t xml:space="preserve">03_七维成长</x:t>
  </x:si>
  <x:si>
    <x:t xml:space="preserve">灵根、职业、路线成长与结丹加成</x:t>
  </x:si>
  <x:si>
    <x:t xml:space="preserve">成长率单位为千分位整数</x:t>
  </x:si>
  <x:si>
    <x:t xml:space="preserve">04_战斗经济</x:t>
  </x:si>
  <x:si>
    <x:t xml:space="preserve">战斗公式、状态、四阶段基线与十小时预算</x:t>
  </x:si>
  <x:si>
    <x:t xml:space="preserve">公式文本与预算表共同审计</x:t>
  </x:si>
  <x:si>
    <x:t xml:space="preserve">05_职业技能</x:t>
  </x:si>
  <x:si>
    <x:t xml:space="preserve">36 个稳定技能 ID 的标准化参数</x:t>
  </x:si>
  <x:si>
    <x:t xml:space="preserve">tick 自动换算为秒</x:t>
  </x:si>
  <x:si>
    <x:t xml:space="preserve">06_装备基础</x:t>
  </x:si>
  <x:si>
    <x:t xml:space="preserve">品质、器纹预算、掉落、铁胚与分解</x:t>
  </x:si>
  <x:si>
    <x:t xml:space="preserve">器纹结果矩阵由品质倍率计算</x:t>
  </x:si>
  <x:si>
    <x:t xml:space="preserve">07_特定装备</x:t>
  </x:si>
  <x:si>
    <x:t xml:space="preserve">上品、珍品、魂器与古宝定义</x:t>
  </x:si>
  <x:si>
    <x:t xml:space="preserve">保留来源与固定效果</x:t>
  </x:si>
  <x:si>
    <x:t xml:space="preserve">08_敌人</x:t>
  </x:si>
  <x:si>
    <x:t xml:space="preserve">四图普通敌人与精英标准化面板</x:t>
  </x:si>
  <x:si>
    <x:t xml:space="preserve">七维拆列并计算面板战力</x:t>
  </x:si>
  <x:si>
    <x:t xml:space="preserve">09_Boss</x:t>
  </x:si>
  <x:si>
    <x:t xml:space="preserve">四个主线 Boss 面板、阶段与技能</x:t>
  </x:si>
  <x:si>
    <x:t xml:space="preserve">主体、部件和召唤耐久分开记录</x:t>
  </x:si>
  <x:si>
    <x:t xml:space="preserve">10_炼器</x:t>
  </x:si>
  <x:si>
    <x:t xml:space="preserve">24 级炼器坊、配方与永久强化</x:t>
  </x:si>
  <x:si>
    <x:t xml:space="preserve">累计灵木由公式计算</x:t>
  </x:si>
  <x:si>
    <x:t xml:space="preserve">11_材料</x:t>
  </x:si>
  <x:si>
    <x:t xml:space="preserve">资源分层、资源包、食物、资源点与材料职责</x:t>
  </x:si>
  <x:si>
    <x:t xml:space="preserve">20 个资源包稳定 ID 已展开</x:t>
  </x:si>
  <x:si>
    <x:t xml:space="preserve">12_后勤</x:t>
  </x:si>
  <x:si>
    <x:t xml:space="preserve">商店、生产、储量、还魂、灵息与失败</x:t>
  </x:si>
  <x:si>
    <x:t xml:space="preserve">含刷新套利和还魂费用公式</x:t>
  </x:si>
  <x:si>
    <x:t xml:space="preserve">13_资源副本</x:t>
  </x:si>
  <x:si>
    <x:t xml:space="preserve">两座副本三档收益、装备与首通</x:t>
  </x:si>
  <x:si>
    <x:t xml:space="preserve">每分钟保底效率由公式回算</x:t>
  </x:si>
  <x:si>
    <x:t xml:space="preserve">策划事实源</x:t>
  </x:si>
  <x:si>
    <x:t xml:space="preserve">工作簿中的每个区块均标注原文件与原行号</x:t>
  </x:si>
  <x:si>
    <x:t xml:space="preserve">文件</x:t>
  </x:si>
  <x:si>
    <x:t xml:space="preserve">版本</x:t>
  </x:si>
  <x:si>
    <x:t xml:space="preserve">日期</x:t>
  </x:si>
  <x:si>
    <x:t xml:space="preserve">仓库路径</x:t>
  </x:si>
  <x:si>
    <x:t xml:space="preserve">16_1.0成长经济与战斗数值_草案.md</x:t>
  </x:si>
  <x:si>
    <x:t xml:space="preserve">1.0-balance.1</x:t>
  </x:si>
  <x:si>
    <x:t xml:space="preserve">2026-08-06</x:t>
  </x:si>
  <x:si>
    <x:t xml:space="preserve">Docs/1.0策划案/数值/16_1.0成长经济与战斗数值_草案.md</x:t>
  </x:si>
  <x:si>
    <x:t xml:space="preserve">17_1.0职业技能数值_草案.md</x:t>
  </x:si>
  <x:si>
    <x:t xml:space="preserve">1.0-draft.3</x:t>
  </x:si>
  <x:si>
    <x:t xml:space="preserve">2026-08-05</x:t>
  </x:si>
  <x:si>
    <x:t xml:space="preserve">Docs/1.0策划案/数值/17_1.0职业技能数值_草案.md</x:t>
  </x:si>
  <x:si>
    <x:t xml:space="preserve">18_1.0装备与掉落数值_草案.md</x:t>
  </x:si>
  <x:si>
    <x:t xml:space="preserve">Docs/1.0策划案/数值/18_1.0装备与掉落数值_草案.md</x:t>
  </x:si>
  <x:si>
    <x:t xml:space="preserve">19_1.0敌人与Boss战斗数值_草案.md</x:t>
  </x:si>
  <x:si>
    <x:t xml:space="preserve">Docs/1.0策划案/数值/19_1.0敌人与Boss战斗数值_草案.md</x:t>
  </x:si>
  <x:si>
    <x:t xml:space="preserve">33_炼器坊升级与炼制机制_草案.md</x:t>
  </x:si>
  <x:si>
    <x:t xml:space="preserve">Docs/1.0策划案/数值/33_炼器坊升级与炼制机制_草案.md</x:t>
  </x:si>
  <x:si>
    <x:t xml:space="preserve">34_1.0基础材料与资源循环_草案.md</x:t>
  </x:si>
  <x:si>
    <x:t xml:space="preserve">Docs/1.0策划案/数值/34_1.0基础材料与资源循环_草案.md</x:t>
  </x:si>
  <x:si>
    <x:t xml:space="preserve">36_营地后勤与野外循环机制_草案.md</x:t>
  </x:si>
  <x:si>
    <x:t xml:space="preserve">Docs/1.0策划案/数值/36_营地后勤与野外循环机制_草案.md</x:t>
  </x:si>
  <x:si>
    <x:t xml:space="preserve">地图/32_可重复资源副本与新修士追赶机制_草案.md</x:t>
  </x:si>
  <x:si>
    <x:t xml:space="preserve">resource-dungeon-balance.1</x:t>
  </x:si>
  <x:si>
    <x:t xml:space="preserve">Docs/1.0策划案/地图/32_可重复资源副本与新修士追赶机制_草案.md</x:t>
  </x:si>
  <x:si>
    <x:t xml:space="preserve">关键参数与自动检查</x:t>
  </x:si>
  <x:si>
    <x:t xml:space="preserve">调整金色输入后，优先查看下方检查状态；跨表公式均使用带引号的工作表引用</x:t>
  </x:si>
  <x:si>
    <x:t xml:space="preserve">系统</x:t>
  </x:si>
  <x:si>
    <x:t xml:space="preserve">参数</x:t>
  </x:si>
  <x:si>
    <x:t xml:space="preserve">输入值</x:t>
  </x:si>
  <x:si>
    <x:t xml:space="preserve">单位</x:t>
  </x:si>
  <x:si>
    <x:t xml:space="preserve">事实源</x:t>
  </x:si>
  <x:si>
    <x:t xml:space="preserve">战斗</x:t>
  </x:si>
  <x:si>
    <x:t xml:space="preserve">每秒 tick</x:t>
  </x:si>
  <x:si>
    <x:t xml:space="preserve">tick/秒</x:t>
  </x:si>
  <x:si>
    <x:t xml:space="preserve">成长数值 §4.1</x:t>
  </x:si>
  <x:si>
    <x:t xml:space="preserve">队伍</x:t>
  </x:si>
  <x:si>
    <x:t xml:space="preserve">固定队伍人数</x:t>
  </x:si>
  <x:si>
    <x:t xml:space="preserve">人</x:t>
  </x:si>
  <x:si>
    <x:t xml:space="preserve">成长数值 §1</x:t>
  </x:si>
  <x:si>
    <x:t xml:space="preserve">成长</x:t>
  </x:si>
  <x:si>
    <x:t xml:space="preserve">1.0 等级上限</x:t>
  </x:si>
  <x:si>
    <x:t xml:space="preserve">级</x:t>
  </x:si>
  <x:si>
    <x:t xml:space="preserve">成长数值 §2.1</x:t>
  </x:si>
  <x:si>
    <x:t xml:space="preserve">后勤</x:t>
  </x:si>
  <x:si>
    <x:t xml:space="preserve">交易行自然刷新</x:t>
  </x:si>
  <x:si>
    <x:t xml:space="preserve">小时</x:t>
  </x:si>
  <x:si>
    <x:t xml:space="preserve">后勤 §2.3</x:t>
  </x:si>
  <x:si>
    <x:t xml:space="preserve">随机栏格数</x:t>
  </x:si>
  <x:si>
    <x:t xml:space="preserve">格</x:t>
  </x:si>
  <x:si>
    <x:t xml:space="preserve">后勤 §2.2</x:t>
  </x:si>
  <x:si>
    <x:t xml:space="preserve">探索</x:t>
  </x:si>
  <x:si>
    <x:t xml:space="preserve">扎营疗伤比例</x:t>
  </x:si>
  <x:si>
    <x:t xml:space="preserve">最大生命</x:t>
  </x:si>
  <x:si>
    <x:t xml:space="preserve">后勤 §6.1</x:t>
  </x:si>
  <x:si>
    <x:t xml:space="preserve">灵息上限</x:t>
  </x:si>
  <x:si>
    <x:t xml:space="preserve">点</x:t>
  </x:si>
  <x:si>
    <x:t xml:space="preserve">后勤 §6.2</x:t>
  </x:si>
  <x:si>
    <x:t xml:space="preserve">灵息每点恢复分钟</x:t>
  </x:si>
  <x:si>
    <x:t xml:space="preserve">分钟</x:t>
  </x:si>
  <x:si>
    <x:t xml:space="preserve">仓库</x:t>
  </x:si>
  <x:si>
    <x:t xml:space="preserve">装备仓位</x:t>
  </x:si>
  <x:si>
    <x:t xml:space="preserve">件</x:t>
  </x:si>
  <x:si>
    <x:t xml:space="preserve">后勤 §4.1</x:t>
  </x:si>
  <x:si>
    <x:t xml:space="preserve">失败</x:t>
  </x:si>
  <x:si>
    <x:t xml:space="preserve">临时战利品损失率</x:t>
  </x:si>
  <x:si>
    <x:t xml:space="preserve">数量/概率</x:t>
  </x:si>
  <x:si>
    <x:t xml:space="preserve">后勤 §6.3</x:t>
  </x:si>
  <x:si>
    <x:t xml:space="preserve">经济</x:t>
  </x:si>
  <x:si>
    <x:t xml:space="preserve">十小时魂晶总投放</x:t>
  </x:si>
  <x:si>
    <x:t xml:space="preserve">魂晶</x:t>
  </x:si>
  <x:si>
    <x:t xml:space="preserve">成长数值 §5.1</x:t>
  </x:si>
  <x:si>
    <x:t xml:space="preserve">地图1手动刷新基础费</x:t>
  </x:si>
  <x:si>
    <x:t xml:space="preserve">灵石</x:t>
  </x:si>
  <x:si>
    <x:t xml:space="preserve">每地图刷新费增量</x:t>
  </x:si>
  <x:si>
    <x:t xml:space="preserve">炼器</x:t>
  </x:si>
  <x:si>
    <x:t xml:space="preserve">炼器坊等级上限</x:t>
  </x:si>
  <x:si>
    <x:t xml:space="preserve">炼器坊 §2.1</x:t>
  </x:si>
  <x:si>
    <x:t xml:space="preserve">储量</x:t>
  </x:si>
  <x:si>
    <x:t xml:space="preserve">1.0 灵木最大容量</x:t>
  </x:si>
  <x:si>
    <x:t xml:space="preserve">灵木</x:t>
  </x:si>
  <x:si>
    <x:t xml:space="preserve">后勤 §3.3</x:t>
  </x:si>
  <x:si>
    <x:t xml:space="preserve">一致性检查</x:t>
  </x:si>
  <x:si>
    <x:t xml:space="preserve">“通过”表示当前工作簿与冻结策划基线一致；出现“检查”时应先追踪公式引用</x:t>
  </x:si>
  <x:si>
    <x:t xml:space="preserve">检查项</x:t>
  </x:si>
  <x:si>
    <x:t xml:space="preserve">当前值</x:t>
  </x:si>
  <x:si>
    <x:t xml:space="preserve">目标/上限</x:t>
  </x:si>
  <x:si>
    <x:t xml:space="preserve">关系</x:t>
  </x:si>
  <x:si>
    <x:t xml:space="preserve">状态</x:t>
  </x:si>
  <x:si>
    <x:t xml:space="preserve">说明</x:t>
  </x:si>
  <x:si>
    <x:t xml:space="preserve">稳定技能 ID 数</x:t>
  </x:si>
  <x:si>
    <x:t xml:space="preserve">等于</x:t>
  </x:si>
  <x:si>
    <x:t xml:space="preserve">四个炼气职业与八条分支各 3 个技能</x:t>
  </x:si>
  <x:si>
    <x:t xml:space="preserve">Lv24 四人累计魂晶</x:t>
  </x:si>
  <x:si>
    <x:t xml:space="preserve">不含突破材料</x:t>
  </x:si>
  <x:si>
    <x:t xml:space="preserve">十小时通关魂晶余量</x:t>
  </x:si>
  <x:si>
    <x:t xml:space="preserve">25150 - 四人 Lv24 成本</x:t>
  </x:si>
  <x:si>
    <x:t xml:space="preserve">炼器坊最高单级木耗</x:t>
  </x:si>
  <x:si>
    <x:t xml:space="preserve">≤</x:t>
  </x:si>
  <x:si>
    <x:t xml:space="preserve">不得超过 1.0 灵木最大容量</x:t>
  </x:si>
  <x:si>
    <x:t xml:space="preserve">灵石包最高单包净值</x:t>
  </x:si>
  <x:si>
    <x:t xml:space="preserve">&lt;</x:t>
  </x:si>
  <x:si>
    <x:t xml:space="preserve">不得覆盖地图1最低手动刷新费</x:t>
  </x:si>
  <x:si>
    <x:t xml:space="preserve">资源副本效率偏差最大值</x:t>
  </x:si>
  <x:si>
    <x:t xml:space="preserve">回算值与策划展示值的绝对差</x:t>
  </x:si>
  <x:si>
    <x:t xml:space="preserve">等级、境界与魂晶</x:t>
  </x:si>
  <x:si>
    <x:t xml:space="preserve">魂晶累计与固定四人总成本由公式计算；突破成本独立列示</x:t>
  </x:si>
  <x:si>
    <x:t xml:space="preserve">关键结果</x:t>
  </x:si>
  <x:si>
    <x:t xml:space="preserve">绿色单元格为公式结果</x:t>
  </x:si>
  <x:si>
    <x:t xml:space="preserve">节点</x:t>
  </x:si>
  <x:si>
    <x:t xml:space="preserve">单人累计魂晶</x:t>
  </x:si>
  <x:si>
    <x:t xml:space="preserve">四人累计魂晶</x:t>
  </x:si>
  <x:si>
    <x:t xml:space="preserve">Lv10</x:t>
  </x:si>
  <x:si>
    <x:t xml:space="preserve">Lv20</x:t>
  </x:si>
  <x:si>
    <x:t xml:space="preserve">Lv21</x:t>
  </x:si>
  <x:si>
    <x:t xml:space="preserve">Lv24</x:t>
  </x:si>
  <x:si>
    <x:t xml:space="preserve">Lv30</x:t>
  </x:si>
  <x:si>
    <x:t xml:space="preserve">Lv1–30 魂晶曲线</x:t>
  </x:si>
  <x:si>
    <x:t xml:space="preserve">境界区间</x:t>
  </x:si>
  <x:si>
    <x:t xml:space="preserve">事实源：16_1.0成长经济与战斗数值_草案.md §2.2</x:t>
  </x:si>
  <x:si>
    <x:t xml:space="preserve">事实源：成长数值 §2.1</x:t>
  </x:si>
  <x:si>
    <x:t xml:space="preserve">当前等级</x:t>
  </x:si>
  <x:si>
    <x:t xml:space="preserve">目标等级</x:t>
  </x:si>
  <x:si>
    <x:t xml:space="preserve">本级魂晶</x:t>
  </x:si>
  <x:si>
    <x:t xml:space="preserve">单人累计</x:t>
  </x:si>
  <x:si>
    <x:t xml:space="preserve">四人累计</x:t>
  </x:si>
  <x:si>
    <x:t xml:space="preserve">境界</x:t>
  </x:si>
  <x:si>
    <x:t xml:space="preserve">等级</x:t>
  </x:si>
  <x:si>
    <x:t xml:space="preserve">1.0 功能</x:t>
  </x:si>
  <x:si>
    <x:t xml:space="preserve">炼气</x:t>
  </x:si>
  <x:si>
    <x:t xml:space="preserve">1–10</x:t>
  </x:si>
  <x:si>
    <x:t xml:space="preserve">初始职业和三技能</x:t>
  </x:si>
  <x:si>
    <x:t xml:space="preserve">筑基</x:t>
  </x:si>
  <x:si>
    <x:t xml:space="preserve">11–20</x:t>
  </x:si>
  <x:si>
    <x:t xml:space="preserve">Lv10 完成试炼后二选一；更换为分支的 3 个核心技能并锁定技能 ID</x:t>
  </x:si>
  <x:si>
    <x:t xml:space="preserve">结丹</x:t>
  </x:si>
  <x:si>
    <x:t xml:space="preserve">21–30</x:t>
  </x:si>
  <x:si>
    <x:t xml:space="preserve">沿筑基分支线性晋升；技能不更换，进入【精通】数值并获得一次性突破属性</x:t>
  </x:si>
  <x:si>
    <x:t xml:space="preserve">突破与专精重置成本</x:t>
  </x:si>
  <x:si>
    <x:t xml:space="preserve">突破固定成功；魂晶升级成本与突破成本分开</x:t>
  </x:si>
  <x:si>
    <x:t xml:space="preserve">事项</x:t>
  </x:si>
  <x:si>
    <x:t xml:space="preserve">最低等级</x:t>
  </x:si>
  <x:si>
    <x:t xml:space="preserve">降尘丹</x:t>
  </x:si>
  <x:si>
    <x:t xml:space="preserve">灵晶折算</x:t>
  </x:si>
  <x:si>
    <x:t xml:space="preserve">升级魂晶</x:t>
  </x:si>
  <x:si>
    <x:t xml:space="preserve">条件/说明</x:t>
  </x:si>
  <x:si>
    <x:t xml:space="preserve">地图2四阵眼与职业试炼</x:t>
  </x:si>
  <x:si>
    <x:t xml:space="preserve">地图3主线与个人试炼</x:t>
  </x:si>
  <x:si>
    <x:t xml:space="preserve">结丹·借阵</x:t>
  </x:si>
  <x:si>
    <x:t xml:space="preserve">每人灵石减免300</x:t>
  </x:si>
  <x:si>
    <x:t xml:space="preserve">筑基专精重置</x:t>
  </x:si>
  <x:si>
    <x:t xml:space="preserve">同一初始职业另一分支</x:t>
  </x:si>
  <x:si>
    <x:t xml:space="preserve">结丹专精重置</x:t>
  </x:si>
  <x:si>
    <x:t xml:space="preserve">替换结丹称号、成长与精通技能</x:t>
  </x:si>
  <x:si>
    <x:t xml:space="preserve">七维成长与路线面板</x:t>
  </x:si>
  <x:si>
    <x:t xml:space="preserve">内部字段冻结：strength / magic / technique / speed / constitution / armor / resistance</x:t>
  </x:si>
  <x:si>
    <x:t xml:space="preserve">3.1 灵根资质倍率</x:t>
  </x:si>
  <x:si>
    <x:t xml:space="preserve">事实源：16_1.0成长经济与战斗数值_草案.md 第127行</x:t>
  </x:si>
  <x:si>
    <x:t xml:space="preserve">灵根资质</x:t>
  </x:si>
  <x:si>
    <x:t xml:space="preserve">稳定 ID</x:t>
  </x:si>
  <x:si>
    <x:t xml:space="preserve">初始七维倍率 basePercent</x:t>
  </x:si>
  <x:si>
    <x:t xml:space="preserve">升级成长倍率 growthPercent</x:t>
  </x:si>
  <x:si>
    <x:t xml:space="preserve">杂灵根</x:t>
  </x:si>
  <x:si>
    <x:t xml:space="preserve">mixed_root</x:t>
  </x:si>
  <x:si>
    <x:t xml:space="preserve">伪灵根</x:t>
  </x:si>
  <x:si>
    <x:t xml:space="preserve">pseudo_root</x:t>
  </x:si>
  <x:si>
    <x:t xml:space="preserve">三灵根</x:t>
  </x:si>
  <x:si>
    <x:t xml:space="preserve">triple_root</x:t>
  </x:si>
  <x:si>
    <x:t xml:space="preserve">双灵根</x:t>
  </x:si>
  <x:si>
    <x:t xml:space="preserve">dual_root</x:t>
  </x:si>
  <x:si>
    <x:t xml:space="preserve">天灵根</x:t>
  </x:si>
  <x:si>
    <x:t xml:space="preserve">heavenly_root</x:t>
  </x:si>
  <x:si>
    <x:t xml:space="preserve">异灵根</x:t>
  </x:si>
  <x:si>
    <x:t xml:space="preserve">variant_root</x:t>
  </x:si>
  <x:si>
    <x:t xml:space="preserve">事实源：16_1.0成长经济与战斗数值_草案.md 第138行</x:t>
  </x:si>
  <x:si>
    <x:t xml:space="preserve">修士</x:t>
  </x:si>
  <x:si>
    <x:t xml:space="preserve">初始职业</x:t>
  </x:si>
  <x:si>
    <x:t xml:space="preserve">石岩</x:t>
  </x:si>
  <x:si>
    <x:t xml:space="preserve">金刚禅修</x:t>
  </x:si>
  <x:si>
    <x:t xml:space="preserve">伪灵根 pseudo_root</x:t>
  </x:si>
  <x:si>
    <x:t xml:space="preserve">陆清</x:t>
  </x:si>
  <x:si>
    <x:t xml:space="preserve">五行法修</x:t>
  </x:si>
  <x:si>
    <x:t xml:space="preserve">白灵</x:t>
  </x:si>
  <x:si>
    <x:t xml:space="preserve">玄箓修</x:t>
  </x:si>
  <x:si>
    <x:t xml:space="preserve">墨言</x:t>
  </x:si>
  <x:si>
    <x:t xml:space="preserve">剑修</x:t>
  </x:si>
  <x:si>
    <x:t xml:space="preserve">杂灵根 mixed_root</x:t>
  </x:si>
  <x:si>
    <x:t xml:space="preserve">3.3 炼气成长率</x:t>
  </x:si>
  <x:si>
    <x:t xml:space="preserve">事实源：16_1.0成长经济与战斗数值_草案.md 第194行</x:t>
  </x:si>
  <x:si>
    <x:t xml:space="preserve">职业</x:t>
  </x:si>
  <x:si>
    <x:t xml:space="preserve">力道</x:t>
  </x:si>
  <x:si>
    <x:t xml:space="preserve">法力</x:t>
  </x:si>
  <x:si>
    <x:t xml:space="preserve">神识</x:t>
  </x:si>
  <x:si>
    <x:t xml:space="preserve">遁速</x:t>
  </x:si>
  <x:si>
    <x:t xml:space="preserve">肉身</x:t>
  </x:si>
  <x:si>
    <x:t xml:space="preserve">护体</x:t>
  </x:si>
  <x:si>
    <x:t xml:space="preserve">定力</x:t>
  </x:si>
  <x:si>
    <x:t xml:space="preserve">3.4 筑基至结丹路线成长率</x:t>
  </x:si>
  <x:si>
    <x:t xml:space="preserve">事实源：16_1.0成长经济与战斗数值_草案.md 第203行</x:t>
  </x:si>
  <x:si>
    <x:t xml:space="preserve">路线</x:t>
  </x:si>
  <x:si>
    <x:t xml:space="preserve">每级定位</x:t>
  </x:si>
  <x:si>
    <x:t xml:space="preserve">护法金身/不动金刚</x:t>
  </x:si>
  <x:si>
    <x:t xml:space="preserve">嘲讽、承伤、反伤</x:t>
  </x:si>
  <x:si>
    <x:t xml:space="preserve">魔相力士/三相魔君</x:t>
  </x:si>
  <x:si>
    <x:t xml:space="preserve">前排输出、自恢复</x:t>
  </x:si>
  <x:si>
    <x:t xml:space="preserve">雷法术式/九霄雷君</x:t>
  </x:si>
  <x:si>
    <x:t xml:space="preserve">雷印、连锁、中低群疗</x:t>
  </x:si>
  <x:si>
    <x:t xml:space="preserve">蜃景幻法/蜃梦玄君</x:t>
  </x:si>
  <x:si>
    <x:t xml:space="preserve">减益、DoT、伤害转疗</x:t>
  </x:si>
  <x:si>
    <x:t xml:space="preserve">镇幽符脉/镇魂符君</x:t>
  </x:si>
  <x:si>
    <x:t xml:space="preserve">对鬼符攻、中上群疗</x:t>
  </x:si>
  <x:si>
    <x:t xml:space="preserve">万象符脉/天元符君</x:t>
  </x:si>
  <x:si>
    <x:t xml:space="preserve">单体攻疗、符傀嘲讽</x:t>
  </x:si>
  <x:si>
    <x:t xml:space="preserve">青冥剑修/青冥剑君</x:t>
  </x:si>
  <x:si>
    <x:t xml:space="preserve">高速暴击、剑煞 DoT</x:t>
  </x:si>
  <x:si>
    <x:t xml:space="preserve">玄岳剑修/玄岳剑君</x:t>
  </x:si>
  <x:si>
    <x:t xml:space="preserve">重击、破甲、中低概率眩晕</x:t>
  </x:si>
  <x:si>
    <x:t xml:space="preserve">3.5 结丹一次性属性</x:t>
  </x:si>
  <x:si>
    <x:t xml:space="preserve">事实源：16_1.0成长经济与战斗数值_草案.md 第218行</x:t>
  </x:si>
  <x:si>
    <x:t xml:space="preserve">结丹职业</x:t>
  </x:si>
  <x:si>
    <x:t xml:space="preserve">力</x:t>
  </x:si>
  <x:si>
    <x:t xml:space="preserve">法</x:t>
  </x:si>
  <x:si>
    <x:t xml:space="preserve">神</x:t>
  </x:si>
  <x:si>
    <x:t xml:space="preserve">速</x:t>
  </x:si>
  <x:si>
    <x:t xml:space="preserve">肉</x:t>
  </x:si>
  <x:si>
    <x:t xml:space="preserve">护</x:t>
  </x:si>
  <x:si>
    <x:t xml:space="preserve">定</x:t>
  </x:si>
  <x:si>
    <x:t xml:space="preserve">合计</x:t>
  </x:si>
  <x:si>
    <x:t xml:space="preserve">不动金刚</x:t>
  </x:si>
  <x:si>
    <x:t xml:space="preserve">三相魔君</x:t>
  </x:si>
  <x:si>
    <x:t xml:space="preserve">九霄雷君</x:t>
  </x:si>
  <x:si>
    <x:t xml:space="preserve">蜃梦玄君</x:t>
  </x:si>
  <x:si>
    <x:t xml:space="preserve">镇魂符君</x:t>
  </x:si>
  <x:si>
    <x:t xml:space="preserve">天元符君</x:t>
  </x:si>
  <x:si>
    <x:t xml:space="preserve">青冥剑君</x:t>
  </x:si>
  <x:si>
    <x:t xml:space="preserve">玄岳剑君</x:t>
  </x:si>
  <x:si>
    <x:t xml:space="preserve">3.6 现有炼气实现对照基线</x:t>
  </x:si>
  <x:si>
    <x:t xml:space="preserve">事实源：16_1.0成长经济与战斗数值_草案.md 第236行</x:t>
  </x:si>
  <x:si>
    <x:t xml:space="preserve">Lv1</x:t>
  </x:si>
  <x:si>
    <x:t xml:space="preserve">Lv25</x:t>
  </x:si>
  <x:si>
    <x:t xml:space="preserve">15/4/7/8/14/11/6；HP232；战65</x:t>
  </x:si>
  <x:si>
    <x:t xml:space="preserve">36/5/11/11/39/28/12；HP432；战142</x:t>
  </x:si>
  <x:si>
    <x:t xml:space="preserve">60/8/17/16/68/48/20；HP664；战237</x:t>
  </x:si>
  <x:si>
    <x:t xml:space="preserve">63/8/18/16/71/50/21；HP688；战247</x:t>
  </x:si>
  <x:si>
    <x:t xml:space="preserve">73/9/20/18/82/58/24；HP776；战284</x:t>
  </x:si>
  <x:si>
    <x:t xml:space="preserve">85/10/22/20/96/68/28；HP888；战329</x:t>
  </x:si>
  <x:si>
    <x:t xml:space="preserve">4/16/10/8/7/4/11；HP140；战60</x:t>
  </x:si>
  <x:si>
    <x:t xml:space="preserve">5/45/29/11/14/9/22；HP196；战135</x:t>
  </x:si>
  <x:si>
    <x:t xml:space="preserve">8/78/51/16/23/16/36；HP268；战228</x:t>
  </x:si>
  <x:si>
    <x:t xml:space="preserve">8/82/54/16/24/17/37；HP276；战238</x:t>
  </x:si>
  <x:si>
    <x:t xml:space="preserve">9/95/62/18/28/19/42；HP308；战273</x:t>
  </x:si>
  <x:si>
    <x:t xml:space="preserve">10/111/73/20/32/23/49；HP340；战318</x:t>
  </x:si>
  <x:si>
    <x:t xml:space="preserve">4/14/11/9/8/5/12；HP156；战63</x:t>
  </x:si>
  <x:si>
    <x:t xml:space="preserve">5/41/26/13/16/10/29；HP220；战140</x:t>
  </x:si>
  <x:si>
    <x:t xml:space="preserve">8/72/44/19/26/17/49；HP300；战235</x:t>
  </x:si>
  <x:si>
    <x:t xml:space="preserve">8/75/46/20/27/18/51；HP308；战245</x:t>
  </x:si>
  <x:si>
    <x:t xml:space="preserve">9/87/53/22/31/20/59；HP340；战281</x:t>
  </x:si>
  <x:si>
    <x:t xml:space="preserve">10/103/62/24/36/24/69；HP380；战328</x:t>
  </x:si>
  <x:si>
    <x:t xml:space="preserve">10/5/14/14/8/6/6；HP160；战63</x:t>
  </x:si>
  <x:si>
    <x:t xml:space="preserve">26/6/33/28/17/13/11；HP232；战134</x:t>
  </x:si>
  <x:si>
    <x:t xml:space="preserve">44/8/55/44/27/21/17；HP312；战216</x:t>
  </x:si>
  <x:si>
    <x:t xml:space="preserve">46/9/58/46/28/22/18；HP320；战227</x:t>
  </x:si>
  <x:si>
    <x:t xml:space="preserve">53/9/66/52/32/25/20；HP352；战257</x:t>
  </x:si>
  <x:si>
    <x:t xml:space="preserve">62/10/77/60/37/29/23；HP392；战298</x:t>
  </x:si>
  <x:si>
    <x:t xml:space="preserve">3.7 八条转职路线精确无装备面板</x:t>
  </x:si>
  <x:si>
    <x:t xml:space="preserve">事实源：16_1.0成长经济与战斗数值_草案.md 第248行</x:t>
  </x:si>
  <x:si>
    <x:t xml:space="preserve">固定修士·路线</x:t>
  </x:si>
  <x:si>
    <x:t xml:space="preserve">石岩·不动金刚</x:t>
  </x:si>
  <x:si>
    <x:t xml:space="preserve">54/7/16/14/72/61/26；HP696；战250</x:t>
  </x:si>
  <x:si>
    <x:t xml:space="preserve">60/7/18/14/82/72/32；HP776；战285</x:t>
  </x:si>
  <x:si>
    <x:t xml:space="preserve">66/8/19/15/92/82/37；HP856；战319</x:t>
  </x:si>
  <x:si>
    <x:t xml:space="preserve">77/9/23/17/112/102/45；HP1016；战385</x:t>
  </x:si>
  <x:si>
    <x:t xml:space="preserve">石岩·三相魔君</x:t>
  </x:si>
  <x:si>
    <x:t xml:space="preserve">72/7/18/20/66/43/23；HP648；战249</x:t>
  </x:si>
  <x:si>
    <x:t xml:space="preserve">84/7/21/23/75/48/26；HP720；战284</x:t>
  </x:si>
  <x:si>
    <x:t xml:space="preserve">95/8/23/26/83/53/29；HP784；战317</x:t>
  </x:si>
  <x:si>
    <x:t xml:space="preserve">117/9/28/32/100/62/36；HP920；战384</x:t>
  </x:si>
  <x:si>
    <x:t xml:space="preserve">陆清·九霄雷君</x:t>
  </x:si>
  <x:si>
    <x:t xml:space="preserve">7/81/53/18/21/14/37；HP252；战231</x:t>
  </x:si>
  <x:si>
    <x:t xml:space="preserve">7/93/61/22/23/16/43；HP268；战265</x:t>
  </x:si>
  <x:si>
    <x:t xml:space="preserve">8/104/68/24/25/17/48；HP284；战294</x:t>
  </x:si>
  <x:si>
    <x:t xml:space="preserve">9/126/83/29/30/21/57；HP324；战355</x:t>
  </x:si>
  <x:si>
    <x:t xml:space="preserve">陆清·蜃梦玄君</x:t>
  </x:si>
  <x:si>
    <x:t xml:space="preserve">7/78/57/20/21/14/34；HP252；战231</x:t>
  </x:si>
  <x:si>
    <x:t xml:space="preserve">7/89/68/25/23/16/38；HP268；战266</x:t>
  </x:si>
  <x:si>
    <x:t xml:space="preserve">8/99/77/28/25/17/41；HP284；战295</x:t>
  </x:si>
  <x:si>
    <x:t xml:space="preserve">9/119/94/34/30/21/49；HP324；战356</x:t>
  </x:si>
  <x:si>
    <x:t xml:space="preserve">白灵·镇魂符君</x:t>
  </x:si>
  <x:si>
    <x:t xml:space="preserve">7/70/44/19/25/16/53；HP292；战234</x:t>
  </x:si>
  <x:si>
    <x:t xml:space="preserve">7/80/51/21/28/18/64；HP316；战269</x:t>
  </x:si>
  <x:si>
    <x:t xml:space="preserve">8/89/57/23/31/20/71；HP340；战299</x:t>
  </x:si>
  <x:si>
    <x:t xml:space="preserve">9/107/68/27/37/24/86；HP388；战358</x:t>
  </x:si>
  <x:si>
    <x:t xml:space="preserve">白灵·天元符君</x:t>
  </x:si>
  <x:si>
    <x:t xml:space="preserve">7/68/50/20/28/19/45；HP316；战237</x:t>
  </x:si>
  <x:si>
    <x:t xml:space="preserve">7/77/59/23/32/23/51；HP348；战272</x:t>
  </x:si>
  <x:si>
    <x:t xml:space="preserve">8/85/66/25/35/26/56；HP372；战301</x:t>
  </x:si>
  <x:si>
    <x:t xml:space="preserve">9/102/81/30/43/32/66；HP436；战363</x:t>
  </x:si>
  <x:si>
    <x:t xml:space="preserve">墨言·青冥剑君</x:t>
  </x:si>
  <x:si>
    <x:t xml:space="preserve">43/8/65/51/24/18/15；HP288；战224</x:t>
  </x:si>
  <x:si>
    <x:t xml:space="preserve">48/8/77/61/26/19/16；HP304；战255</x:t>
  </x:si>
  <x:si>
    <x:t xml:space="preserve">53/8/86/68/28/21/17；HP320；战281</x:t>
  </x:si>
  <x:si>
    <x:t xml:space="preserve">64/10/106/82/33/24/20；HP360；战339</x:t>
  </x:si>
  <x:si>
    <x:t xml:space="preserve">墨言·玄岳剑君</x:t>
  </x:si>
  <x:si>
    <x:t xml:space="preserve">60/8/42/33/37/29/17；HP392；战226</x:t>
  </x:si>
  <x:si>
    <x:t xml:space="preserve">73/8/45/33/45/35/18；HP456；战257</x:t>
  </x:si>
  <x:si>
    <x:t xml:space="preserve">83/8/48/35/51/40/20；HP504；战285</x:t>
  </x:si>
  <x:si>
    <x:t xml:space="preserve">104/10/54/38/63/50/24；HP600；战343</x:t>
  </x:si>
  <x:si>
    <x:t xml:space="preserve">战斗公式、状态与十小时经济</x:t>
  </x:si>
  <x:si>
    <x:t xml:space="preserve">所有公式均为策划冻结口径；乘法先乘后除并向下取整，最终直接伤害至少 1</x:t>
  </x:si>
  <x:si>
    <x:t xml:space="preserve">核心公式</x:t>
  </x:si>
  <x:si>
    <x:t xml:space="preserve">事实源：成长数值 §4.1–4.2</x:t>
  </x:si>
  <x:si>
    <x:t xml:space="preserve">指标</x:t>
  </x:si>
  <x:si>
    <x:t xml:space="preserve">公式</x:t>
  </x:si>
  <x:si>
    <x:t xml:space="preserve">生命上限</x:t>
  </x:si>
  <x:si>
    <x:t xml:space="preserve">职业基础生命 + 肉身 × 8 + 装备生命</x:t>
  </x:si>
  <x:si>
    <x:t xml:space="preserve">HP</x:t>
  </x:si>
  <x:si>
    <x:t xml:space="preserve">物理基础伤害</x:t>
  </x:si>
  <x:si>
    <x:t xml:space="preserve">力道 × 主倍率 + 神识 × 副倍率</x:t>
  </x:si>
  <x:si>
    <x:t xml:space="preserve">伤害</x:t>
  </x:si>
  <x:si>
    <x:t xml:space="preserve">法术基础伤害</x:t>
  </x:si>
  <x:si>
    <x:t xml:space="preserve">法力 × 主倍率 + 神识 × 副倍率</x:t>
  </x:si>
  <x:si>
    <x:t xml:space="preserve">物理减伤</x:t>
  </x:si>
  <x:si>
    <x:t xml:space="preserve">护体 / (护体 + K(等级))</x:t>
  </x:si>
  <x:si>
    <x:t xml:space="preserve">比例</x:t>
  </x:si>
  <x:si>
    <x:t xml:space="preserve">法术减伤</x:t>
  </x:si>
  <x:si>
    <x:t xml:space="preserve">定力 / (定力 + K(等级))</x:t>
  </x:si>
  <x:si>
    <x:t xml:space="preserve">K(等级)</x:t>
  </x:si>
  <x:si>
    <x:t xml:space="preserve">100 + floor(24 × (等级 - 1) / 10)</x:t>
  </x:si>
  <x:si>
    <x:t xml:space="preserve">常量</x:t>
  </x:si>
  <x:si>
    <x:t xml:space="preserve">行动间隔</x:t>
  </x:si>
  <x:si>
    <x:t xml:space="preserve">clamp(基础间隔 × 100 / (100 + 最终遁速), 4, 200)</x:t>
  </x:si>
  <x:si>
    <x:t xml:space="preserve">tick</x:t>
  </x:si>
  <x:si>
    <x:t xml:space="preserve">最终命中率</x:t>
  </x:si>
  <x:si>
    <x:t xml:space="preserve">clamp(命中率 - 闪避率, 50%, 100%)</x:t>
  </x:si>
  <x:si>
    <x:t xml:space="preserve">暴击率</x:t>
  </x:si>
  <x:si>
    <x:t xml:space="preserve">clamp(5% + 神识 / (神识 + 200) × 25%, 5%, 30%) + 装备暴击</x:t>
  </x:si>
  <x:si>
    <x:t xml:space="preserve">暴击伤害</x:t>
  </x:si>
  <x:si>
    <x:t xml:space="preserve">150% + 装备暴伤</x:t>
  </x:si>
  <x:si>
    <x:t xml:space="preserve">倍率</x:t>
  </x:si>
  <x:si>
    <x:t xml:space="preserve">状态命中率</x:t>
  </x:si>
  <x:si>
    <x:t xml:space="preserve">clamp(技能基础命中 + (攻方神识 - 守方定力) × 0.3%, 25%, 100%)</x:t>
  </x:si>
  <x:si>
    <x:t xml:space="preserve">1.1 四阶段总控基线</x:t>
  </x:si>
  <x:si>
    <x:t xml:space="preserve">事实源：16_1.0成长经济与战斗数值_草案.md 第29行</x:t>
  </x:si>
  <x:si>
    <x:t xml:space="preserve">阶段</x:t>
  </x:si>
  <x:si>
    <x:t xml:space="preserve">合格队伍等级</x:t>
  </x:si>
  <x:si>
    <x:t xml:space="preserve">裸装队伍战力</x:t>
  </x:si>
  <x:si>
    <x:t xml:space="preserve">标准配装增量</x:t>
  </x:si>
  <x:si>
    <x:t xml:space="preserve">推荐队伍战力</x:t>
  </x:si>
  <x:si>
    <x:t xml:space="preserve">结算后持续输出</x:t>
  </x:si>
  <x:si>
    <x:t xml:space="preserve">普通战标准耐久</x:t>
  </x:si>
  <x:si>
    <x:t xml:space="preserve">Boss标准耐久/目标时长</x:t>
  </x:si>
  <x:si>
    <x:t xml:space="preserve">地图1</x:t>
  </x:si>
  <x:si>
    <x:t xml:space="preserve">Lv5–7</x:t>
  </x:si>
  <x:si>
    <x:t xml:space="preserve">360–430</x:t>
  </x:si>
  <x:si>
    <x:t xml:space="preserve">60–140</x:t>
  </x:si>
  <x:si>
    <x:t xml:space="preserve">380–500</x:t>
  </x:si>
  <x:si>
    <x:t xml:space="preserve">70–95/秒</x:t>
  </x:si>
  <x:si>
    <x:t xml:space="preserve">1800–3400</x:t>
  </x:si>
  <x:si>
    <x:t xml:space="preserve">7000–9000 / 90–120秒</x:t>
  </x:si>
  <x:si>
    <x:t xml:space="preserve">地图2</x:t>
  </x:si>
  <x:si>
    <x:t xml:space="preserve">Lv10–13</x:t>
  </x:si>
  <x:si>
    <x:t xml:space="preserve">530–650</x:t>
  </x:si>
  <x:si>
    <x:t xml:space="preserve">180–300</x:t>
  </x:si>
  <x:si>
    <x:t xml:space="preserve">650–820</x:t>
  </x:si>
  <x:si>
    <x:t xml:space="preserve">120–170/秒</x:t>
  </x:si>
  <x:si>
    <x:t xml:space="preserve">3200–5200</x:t>
  </x:si>
  <x:si>
    <x:t xml:space="preserve">15000–20000 / 100–150秒</x:t>
  </x:si>
  <x:si>
    <x:t xml:space="preserve">地图3</x:t>
  </x:si>
  <x:si>
    <x:t xml:space="preserve">Lv18–20</x:t>
  </x:si>
  <x:si>
    <x:t xml:space="preserve">800–899</x:t>
  </x:si>
  <x:si>
    <x:t xml:space="preserve">320–480</x:t>
  </x:si>
  <x:si>
    <x:t xml:space="preserve">1050–1320</x:t>
  </x:si>
  <x:si>
    <x:t xml:space="preserve">230–310/秒</x:t>
  </x:si>
  <x:si>
    <x:t xml:space="preserve">6500–11000</x:t>
  </x:si>
  <x:si>
    <x:t xml:space="preserve">38000–48000 / 120–180秒</x:t>
  </x:si>
  <x:si>
    <x:t xml:space="preserve">地图4</x:t>
  </x:si>
  <x:si>
    <x:t xml:space="preserve">Lv21–24</x:t>
  </x:si>
  <x:si>
    <x:t xml:space="preserve">1003–1132</x:t>
  </x:si>
  <x:si>
    <x:t xml:space="preserve">440–720</x:t>
  </x:si>
  <x:si>
    <x:t xml:space="preserve">1450–1800</x:t>
  </x:si>
  <x:si>
    <x:t xml:space="preserve">380–520/秒</x:t>
  </x:si>
  <x:si>
    <x:t xml:space="preserve">9000–16000</x:t>
  </x:si>
  <x:si>
    <x:t xml:space="preserve">56000–70000 / 140–190秒</x:t>
  </x:si>
  <x:si>
    <x:t xml:space="preserve">4.3 状态统一语义</x:t>
  </x:si>
  <x:si>
    <x:t xml:space="preserve">事实源：16_1.0成长经济与战斗数值_草案.md 第293行</x:t>
  </x:si>
  <x:si>
    <x:t xml:space="preserve">数值语义</x:t>
  </x:si>
  <x:si>
    <x:t xml:space="preserve">叠加</x:t>
  </x:si>
  <x:si>
    <x:t xml:space="preserve">护盾</x:t>
  </x:si>
  <x:si>
    <x:t xml:space="preserve">先于生命吸收伤害</x:t>
  </x:si>
  <x:si>
    <x:t xml:space="preserve">不同来源相加；同来源取较高并刷新</x:t>
  </x:si>
  <x:si>
    <x:t xml:space="preserve">加速/迟缓</x:t>
  </x:si>
  <x:si>
    <x:t xml:space="preserve">最终行动间隔乘以 (1-加速%) / (1+迟缓%)</x:t>
  </x:si>
  <x:si>
    <x:t xml:space="preserve">各取最强，互相抵消后结算</x:t>
  </x:si>
  <x:si>
    <x:t xml:space="preserve">聚灵/嘲讽</x:t>
  </x:si>
  <x:si>
    <x:t xml:space="preserve">单体技能优先选取最高嘲讽强度者</x:t>
  </x:si>
  <x:si>
    <x:t xml:space="preserve">取最高</x:t>
  </x:si>
  <x:si>
    <x:t xml:space="preserve">伤害提升</x:t>
  </x:si>
  <x:si>
    <x:t xml:space="preserve">最终伤害乘算</x:t>
  </x:si>
  <x:si>
    <x:t xml:space="preserve">同来源刷新，不同来源相加，上限 60%</x:t>
  </x:si>
  <x:si>
    <x:t xml:space="preserve">破甲/降抗</x:t>
  </x:si>
  <x:si>
    <x:t xml:space="preserve">目标护体/定力按百分比降低</x:t>
  </x:si>
  <x:si>
    <x:t xml:space="preserve">相加，上限 50%</x:t>
  </x:si>
  <x:si>
    <x:t xml:space="preserve">中毒/灼烧</x:t>
  </x:si>
  <x:si>
    <x:t xml:space="preserve">每 20 tick 结算一次，伤害由施加者属性快照计算</x:t>
  </x:si>
  <x:si>
    <x:t xml:space="preserve">中毒最多 3 层；灼烧取最高并刷新</x:t>
  </x:si>
  <x:si>
    <x:t xml:space="preserve">流血</x:t>
  </x:si>
  <x:si>
    <x:t xml:space="preserve">每 20 tick 结算；不暴击，忽略护体与定力</x:t>
  </x:si>
  <x:si>
    <x:t xml:space="preserve">最多 3 层；同来源刷新，不同来源独立</x:t>
  </x:si>
  <x:si>
    <x:t xml:space="preserve">再生</x:t>
  </x:si>
  <x:si>
    <x:t xml:space="preserve">每 20 tick 治疗；使用施加时属性快照，不暴击</x:t>
  </x:si>
  <x:si>
    <x:t xml:space="preserve">同来源取较高并刷新；不同来源最多 2 个</x:t>
  </x:si>
  <x:si>
    <x:t xml:space="preserve">导电</x:t>
  </x:si>
  <x:si>
    <x:t xml:space="preserve">本身不造成伤害；为雷系技能提供增伤和连锁依据</x:t>
  </x:si>
  <x:si>
    <x:t xml:space="preserve">最多 3 层；新层刷新全部剩余时间</x:t>
  </x:si>
  <x:si>
    <x:t xml:space="preserve">弱点</x:t>
  </x:si>
  <x:si>
    <x:t xml:space="preserve">把配置的命中/暴击/飞行命中加成给所有攻击者</x:t>
  </x:si>
  <x:si>
    <x:t xml:space="preserve">同目标只保留效果较强者并刷新</x:t>
  </x:si>
  <x:si>
    <x:t xml:space="preserve">眩晕</x:t>
  </x:si>
  <x:si>
    <x:t xml:space="preserve">无法行动，行动计时暂停</x:t>
  </x:si>
  <x:si>
    <x:t xml:space="preserve">Boss 同战共享硬控计数：前三次持续 100%/60%/30%，第四次起免疫</x:t>
  </x:si>
  <x:si>
    <x:t xml:space="preserve">冻结</x:t>
  </x:si>
  <x:si>
    <x:t xml:space="preserve">无法行动，行动计时暂停；只能等待持续结束</x:t>
  </x:si>
  <x:si>
    <x:t xml:space="preserve">与眩晕共用同一硬控递减计数</x:t>
  </x:si>
  <x:si>
    <x:t xml:space="preserve">缠绕</x:t>
  </x:si>
  <x:si>
    <x:t xml:space="preserve">无法行动，不阻止被动效果；只能等待持续结束</x:t>
  </x:si>
  <x:si>
    <x:t xml:space="preserve">同上</x:t>
  </x:si>
  <x:si>
    <x:t xml:space="preserve">沉默/封灵</x:t>
  </x:si>
  <x:si>
    <x:t xml:space="preserve">不能使用带法术/状态标签的技能，可普通攻击</x:t>
  </x:si>
  <x:si>
    <x:t xml:space="preserve">取最长</x:t>
  </x:si>
  <x:si>
    <x:t xml:space="preserve">恐惧</x:t>
  </x:si>
  <x:si>
    <x:t xml:space="preserve">行动就绪时基础 50% 概率延后 20 tick；每次施加最多触发一次</x:t>
  </x:si>
  <x:si>
    <x:t xml:space="preserve">持续时间取最长，等待自然结束</x:t>
  </x:si>
  <x:si>
    <x:t xml:space="preserve">尸毒</x:t>
  </x:si>
  <x:si>
    <x:t xml:space="preserve">中毒类且降低受治疗效果</x:t>
  </x:si>
  <x:si>
    <x:t xml:space="preserve">最多 3 层</x:t>
  </x:si>
  <x:si>
    <x:t xml:space="preserve">空间错位</x:t>
  </x:si>
  <x:si>
    <x:t xml:space="preserve">立即把行动计时增加 30 tick，不再另加持续减速</x:t>
  </x:si>
  <x:si>
    <x:t xml:space="preserve">每次命中独立执行；空间错位免疫可阻止此次行动计时增加</x:t>
  </x:si>
  <x:si>
    <x:t xml:space="preserve">魔气侵蚀</x:t>
  </x:si>
  <x:si>
    <x:t xml:space="preserve">每层造成伤害+4%、受到伤害+6%，地图与战斗跨系统</x:t>
  </x:si>
  <x:si>
    <x:t xml:space="preserve">最多 5 层，安全归营清除</x:t>
  </x:si>
  <x:si>
    <x:t xml:space="preserve">飞行</x:t>
  </x:si>
  <x:si>
    <x:t xml:space="preserve">单位标签，使普通近战最终命中-35%</x:t>
  </x:si>
  <x:si>
    <x:t xml:space="preserve">法术、御剑、弱点和明示可对空效果忽略惩罚</x:t>
  </x:si>
  <x:si>
    <x:t xml:space="preserve">5.1 魂晶总预算</x:t>
  </x:si>
  <x:si>
    <x:t xml:space="preserve">事实源：16_1.0成长经济与战斗数值_草案.md 第344行</x:t>
  </x:si>
  <x:si>
    <x:t xml:space="preserve">来源</x:t>
  </x:si>
  <x:si>
    <x:t xml:space="preserve">主线节点</x:t>
  </x:si>
  <x:si>
    <x:t xml:space="preserve">Boss 首杀</x:t>
  </x:si>
  <x:si>
    <x:t xml:space="preserve">四条支线</x:t>
  </x:si>
  <x:si>
    <x:t xml:space="preserve">固定精英/首次探索</x:t>
  </x:si>
  <x:si>
    <x:t xml:space="preserve">普通敌人预计</x:t>
  </x:si>
  <x:si>
    <x:t xml:space="preserve">5.2 普通战斗奖励</x:t>
  </x:si>
  <x:si>
    <x:t xml:space="preserve">事实源：16_1.0成长经济与战斗数值_草案.md 第359行</x:t>
  </x:si>
  <x:si>
    <x:t xml:space="preserve">地图</x:t>
  </x:si>
  <x:si>
    <x:t xml:space="preserve">普通敌群魂晶</x:t>
  </x:si>
  <x:si>
    <x:t xml:space="preserve">精英魂晶</x:t>
  </x:si>
  <x:si>
    <x:t xml:space="preserve">重复启程刷新收益</x:t>
  </x:si>
  <x:si>
    <x:t xml:space="preserve">12–18</x:t>
  </x:si>
  <x:si>
    <x:t xml:space="preserve">45–60</x:t>
  </x:si>
  <x:si>
    <x:t xml:space="preserve">首次的 50%</x:t>
  </x:si>
  <x:si>
    <x:t xml:space="preserve">25–35</x:t>
  </x:si>
  <x:si>
    <x:t xml:space="preserve">90–120</x:t>
  </x:si>
  <x:si>
    <x:t xml:space="preserve">首次的 45%</x:t>
  </x:si>
  <x:si>
    <x:t xml:space="preserve">45–65</x:t>
  </x:si>
  <x:si>
    <x:t xml:space="preserve">180–240</x:t>
  </x:si>
  <x:si>
    <x:t xml:space="preserve">首次的 40%</x:t>
  </x:si>
  <x:si>
    <x:t xml:space="preserve">70–100</x:t>
  </x:si>
  <x:si>
    <x:t xml:space="preserve">300–420</x:t>
  </x:si>
  <x:si>
    <x:t xml:space="preserve">首次的 35%</x:t>
  </x:si>
  <x:si>
    <x:t xml:space="preserve">职业技能数值</x:t>
  </x:si>
  <x:si>
    <x:t xml:space="preserve">36 个稳定技能 ID｜炼气 12 个＋八条筑基分支 24 个｜结丹只提升 mastery 数值，不更换 ID</x:t>
  </x:si>
  <x:si>
    <x:t xml:space="preserve">路线/职业</x:t>
  </x:si>
  <x:si>
    <x:t xml:space="preserve">技能 ID</x:t>
  </x:si>
  <x:si>
    <x:t xml:space="preserve">技能名</x:t>
  </x:si>
  <x:si>
    <x:t xml:space="preserve">目标</x:t>
  </x:si>
  <x:si>
    <x:t xml:space="preserve">基础 I(tick)</x:t>
  </x:si>
  <x:si>
    <x:t xml:space="preserve">基础 CD(tick)</x:t>
  </x:si>
  <x:si>
    <x:t xml:space="preserve">基础 I(秒)</x:t>
  </x:si>
  <x:si>
    <x:t xml:space="preserve">基础 CD(秒)</x:t>
  </x:si>
  <x:si>
    <x:t xml:space="preserve">基础数值与效果</x:t>
  </x:si>
  <x:si>
    <x:t xml:space="preserve">精通 I(tick)</x:t>
  </x:si>
  <x:si>
    <x:t xml:space="preserve">精通 CD(tick)</x:t>
  </x:si>
  <x:si>
    <x:t xml:space="preserve">精通 I(秒)</x:t>
  </x:si>
  <x:si>
    <x:t xml:space="preserve">精通 CD(秒)</x:t>
  </x:si>
  <x:si>
    <x:t xml:space="preserve">结丹精通数值与效果</x:t>
  </x:si>
  <x:si>
    <x:t xml:space="preserve">skill_chan_fumo</x:t>
  </x:si>
  <x:si>
    <x:t xml:space="preserve">伏魔掌</x:t>
  </x:si>
  <x:si>
    <x:t xml:space="preserve">敌单</x:t>
  </x:si>
  <x:si>
    <x:t xml:space="preserve">95%力+30%肉物理；目标伤害-8%/60 tick</x:t>
  </x:si>
  <x:si>
    <x:t xml:space="preserve">538</x:t>
  </x:si>
  <x:si>
    <x:t xml:space="preserve">17_1.0职业技能数值_草案.md 第30行</x:t>
  </x:si>
  <x:si>
    <x:t xml:space="preserve">skill_chan_taunt</x:t>
  </x:si>
  <x:si>
    <x:t xml:space="preserve">金刚怒目</x:t>
  </x:si>
  <x:si>
    <x:t xml:space="preserve">自身</x:t>
  </x:si>
  <x:si>
    <x:t xml:space="preserve">嘲讽强度130；受伤-10%、护体与定力+8%/100 tick</x:t>
  </x:si>
  <x:si>
    <x:t xml:space="preserve">skill_chan_iron</x:t>
  </x:si>
  <x:si>
    <x:t xml:space="preserve">铁衣禅</x:t>
  </x:si>
  <x:si>
    <x:t xml:space="preserve">受伤-12%、控制抵抗+15%/120 tick</x:t>
  </x:si>
  <x:si>
    <x:t xml:space="preserve">skill_five_strike</x:t>
  </x:si>
  <x:si>
    <x:t xml:space="preserve">五行灵击</x:t>
  </x:si>
  <x:si>
    <x:t xml:space="preserve">115%法+25%神法术</x:t>
  </x:si>
  <x:si>
    <x:t xml:space="preserve">17_1.0职业技能数值_草案.md 第38行</x:t>
  </x:si>
  <x:si>
    <x:t xml:space="preserve">skill_five_wave</x:t>
  </x:si>
  <x:si>
    <x:t xml:space="preserve">术式震荡</x:t>
  </x:si>
  <x:si>
    <x:t xml:space="preserve">敌全</x:t>
  </x:si>
  <x:si>
    <x:t xml:space="preserve">65%法+20%神法术；降抗8%/80 tick</x:t>
  </x:si>
  <x:si>
    <x:t xml:space="preserve">skill_five_restore</x:t>
  </x:si>
  <x:si>
    <x:t xml:space="preserve">五行归元</x:t>
  </x:si>
  <x:si>
    <x:t xml:space="preserve">友全</x:t>
  </x:si>
  <x:si>
    <x:t xml:space="preserve">中低群疗=34%法+12%神/人；技巧+5%/80 tick</x:t>
  </x:si>
  <x:si>
    <x:t xml:space="preserve">skill_talisman_blade</x:t>
  </x:si>
  <x:si>
    <x:t xml:space="preserve">飞符化刃</x:t>
  </x:si>
  <x:si>
    <x:t xml:space="preserve">105%法+25%神法术</x:t>
  </x:si>
  <x:si>
    <x:t xml:space="preserve">17_1.0职业技能数值_草案.md 第46行</x:t>
  </x:si>
  <x:si>
    <x:t xml:space="preserve">skill_talisman_restore</x:t>
  </x:si>
  <x:si>
    <x:t xml:space="preserve">回元灵符</x:t>
  </x:si>
  <x:si>
    <x:t xml:space="preserve">中低群疗=38%法+18%定/人</x:t>
  </x:si>
  <x:si>
    <x:t xml:space="preserve">skill_talisman_guard</x:t>
  </x:si>
  <x:si>
    <x:t xml:space="preserve">护神金符</x:t>
  </x:si>
  <x:si>
    <x:t xml:space="preserve">定力+10%、异常抵抗+8%/100 tick</x:t>
  </x:si>
  <x:si>
    <x:t xml:space="preserve">skill_sword_flying</x:t>
  </x:si>
  <x:si>
    <x:t xml:space="preserve">飞剑点星</x:t>
  </x:si>
  <x:si>
    <x:t xml:space="preserve">105%力+30%神物理；不受飞行命中惩罚</x:t>
  </x:si>
  <x:si>
    <x:t xml:space="preserve">17_1.0职业技能数值_草案.md 第54行</x:t>
  </x:si>
  <x:si>
    <x:t xml:space="preserve">skill_sword_split</x:t>
  </x:si>
  <x:si>
    <x:t xml:space="preserve">剑光分化</x:t>
  </x:si>
  <x:si>
    <x:t xml:space="preserve">随机2目标</x:t>
  </x:si>
  <x:si>
    <x:t xml:space="preserve">每段65%力+20%神物理；单敌时第二段伤害-20%</x:t>
  </x:si>
  <x:si>
    <x:t xml:space="preserve">skill_sword_nurture</x:t>
  </x:si>
  <x:si>
    <x:t xml:space="preserve">养剑诀</x:t>
  </x:si>
  <x:si>
    <x:t xml:space="preserve">技巧+12%、暴击+8%、加速15%/100 tick</x:t>
  </x:si>
  <x:si>
    <x:t xml:space="preserve">筑基/结丹</x:t>
  </x:si>
  <x:si>
    <x:t xml:space="preserve">. 金刚禅修</x:t>
  </x:si>
  <x:si>
    <x:t xml:space="preserve">护法金身→不动金刚</x:t>
  </x:si>
  <x:si>
    <x:t xml:space="preserve">skill_guard_roar</x:t>
  </x:si>
  <x:si>
    <x:t xml:space="preserve">狮吼震心</x:t>
  </x:si>
  <x:si>
    <x:t xml:space="preserve">嘲讽170，受伤-16%、护/定+12%/120 tick</x:t>
  </x:si>
  <x:si>
    <x:t xml:space="preserve">嘲讽200，受伤-22%、护/定+18%/140 tick</x:t>
  </x:si>
  <x:si>
    <x:t xml:space="preserve">17_1.0职业技能数值_草案.md 第64行</x:t>
  </x:si>
  <x:si>
    <x:t xml:space="preserve">skill_guard_seal</x:t>
  </x:si>
  <x:si>
    <x:t xml:space="preserve">镇狱掌印</x:t>
  </x:si>
  <x:si>
    <x:t xml:space="preserve">85%力+35%肉物理；伤害-12%/80 tick；35%基础命中眩晕24 tick</x:t>
  </x:si>
  <x:si>
    <x:t xml:space="preserve">105%力+45%肉；伤害-16%/100 tick；45%基础命中眩晕28 tick</x:t>
  </x:si>
  <x:si>
    <x:t xml:space="preserve">skill_guard_reflect</x:t>
  </x:si>
  <x:si>
    <x:t xml:space="preserve">金轮反照</x:t>
  </x:si>
  <x:si>
    <x:t xml:space="preserve">持续120 tick；将实际承受的直接伤害35%反给伤害来源，单次上限自身最大HP20%</x:t>
  </x:si>
  <x:si>
    <x:t xml:space="preserve">持续140 tick；反伤50%，单次上限最大HP25%</x:t>
  </x:si>
  <x:si>
    <x:t xml:space="preserve">魔相力士→三相魔君</x:t>
  </x:si>
  <x:si>
    <x:t xml:space="preserve">skill_demon_open</x:t>
  </x:si>
  <x:si>
    <x:t xml:space="preserve">魔纹开体</x:t>
  </x:si>
  <x:si>
    <x:t xml:space="preserve">伤害+20%、暴击+10%、定力-10%/120 tick</x:t>
  </x:si>
  <x:si>
    <x:t xml:space="preserve">伤害+28%、暴击+15%、定力-8%/140 tick</x:t>
  </x:si>
  <x:si>
    <x:t xml:space="preserve">17_1.0职业技能数值_草案.md 第75行</x:t>
  </x:si>
  <x:si>
    <x:t xml:space="preserve">skill_demon_multi</x:t>
  </x:si>
  <x:si>
    <x:t xml:space="preserve">三相轰杀</x:t>
  </x:si>
  <x:si>
    <x:t xml:space="preserve">3段×48%力+12%肉物理</x:t>
  </x:si>
  <x:si>
    <x:t xml:space="preserve">4段×43%力+14%肉物理</x:t>
  </x:si>
  <x:si>
    <x:t xml:space="preserve">skill_demon_drain</x:t>
  </x:si>
  <x:si>
    <x:t xml:space="preserve">吞元炼血</x:t>
  </x:si>
  <x:si>
    <x:t xml:space="preserve">58%力+20%肉物理；自疗=实际伤害55%，总恢复上限30%HP</x:t>
  </x:si>
  <x:si>
    <x:t xml:space="preserve">75%力+25%肉；自疗=实际伤害70%，总恢复上限40%HP</x:t>
  </x:si>
  <x:si>
    <x:t xml:space="preserve">. 五行法修</x:t>
  </x:si>
  <x:si>
    <x:t xml:space="preserve">雷法术式→九霄雷君</x:t>
  </x:si>
  <x:si>
    <x:t xml:space="preserve">skill_thunder_mark</x:t>
  </x:si>
  <x:si>
    <x:t xml:space="preserve">引雷落印</x:t>
  </x:si>
  <x:si>
    <x:t xml:space="preserve">135%法+35%神；雷印1层/100 tick，最多3层，每层使雷伤+8%</x:t>
  </x:si>
  <x:si>
    <x:t xml:space="preserve">155%法+50%神；每层雷伤+12%，命中刷新持续</x:t>
  </x:si>
  <x:si>
    <x:t xml:space="preserve">17_1.0职业技能数值_草案.md 第85行</x:t>
  </x:si>
  <x:si>
    <x:t xml:space="preserve">skill_thunder_chain</x:t>
  </x:si>
  <x:si>
    <x:t xml:space="preserve">雷链追身</x:t>
  </x:si>
  <x:si>
    <x:t xml:space="preserve">随机3目标</x:t>
  </x:si>
  <x:si>
    <x:t xml:space="preserve">每段65%法+20%神；雷印每层增伤8%；命中至少2敌后35%基础命中使敌全减速15%/80 tick</x:t>
  </x:si>
  <x:si>
    <x:t xml:space="preserve">每段78%法+25%神；每层增伤12%；45%基础命中使敌全减速20%/100 tick</x:t>
  </x:si>
  <x:si>
    <x:t xml:space="preserve">skill_thunder_restore</x:t>
  </x:si>
  <x:si>
    <x:t xml:space="preserve">雷泽回元</x:t>
  </x:si>
  <x:si>
    <x:t xml:space="preserve">中低群疗=42%法+15%神/人；技巧+6%/80 tick</x:t>
  </x:si>
  <x:si>
    <x:t xml:space="preserve">群疗=55%法+20%神/人；技巧+8%/100 tick</x:t>
  </x:si>
  <x:si>
    <x:t xml:space="preserve">蜃景幻法→蜃梦玄君</x:t>
  </x:si>
  <x:si>
    <x:t xml:space="preserve">skill_illusion_beguile</x:t>
  </x:si>
  <x:si>
    <x:t xml:space="preserve">镜花惑心</x:t>
  </x:si>
  <x:si>
    <x:t xml:space="preserve">90%法+35%神；伤害-8%、命中-10%、异常抵抗-8%/80 tick</x:t>
  </x:si>
  <x:si>
    <x:t xml:space="preserve">110%法+45%神；伤害-12%、命中-15%、异常抵抗-12%/100 tick</x:t>
  </x:si>
  <x:si>
    <x:t xml:space="preserve">17_1.0职业技能数值_草案.md 第95行</x:t>
  </x:si>
  <x:si>
    <x:t xml:space="preserve">skill_illusion_dot</x:t>
  </x:si>
  <x:si>
    <x:t xml:space="preserve">蜃雾蚀神</x:t>
  </x:si>
  <x:si>
    <x:t xml:space="preserve">45%法+20%神；迷神每秒16%法+8%神/100 tick，最多3层</x:t>
  </x:si>
  <x:si>
    <x:t xml:space="preserve">55%法+25%神；每层每秒20%法+10%神/120 tick</x:t>
  </x:si>
  <x:si>
    <x:t xml:space="preserve">skill_illusion_drain</x:t>
  </x:si>
  <x:si>
    <x:t xml:space="preserve">夺念还元</x:t>
  </x:si>
  <x:si>
    <x:t xml:space="preserve">敌方减益最多</x:t>
  </x:si>
  <x:si>
    <x:t xml:space="preserve">95%法+35%神；每个减益增伤8%；自疗=实际伤害70%，上限30%HP</x:t>
  </x:si>
  <x:si>
    <x:t xml:space="preserve">125%法+45%神；每个减益增伤12%；自疗=实际伤害90%，上限40%HP</x:t>
  </x:si>
  <x:si>
    <x:t xml:space="preserve">. 玄箓修</x:t>
  </x:si>
  <x:si>
    <x:t xml:space="preserve">镇幽符脉→镇魂符君</x:t>
  </x:si>
  <x:si>
    <x:t xml:space="preserve">skill_ghost_treasure</x:t>
  </x:si>
  <x:si>
    <x:t xml:space="preserve">镇幽符宝</x:t>
  </x:si>
  <x:si>
    <x:t xml:space="preserve">105%法+35%神；对鬼物/残魂/尸傀+35%</x:t>
  </x:si>
  <x:si>
    <x:t xml:space="preserve">130%法+45%神；对上述目标+55%</x:t>
  </x:si>
  <x:si>
    <x:t xml:space="preserve">17_1.0职业技能数值_草案.md 第105行</x:t>
  </x:si>
  <x:si>
    <x:t xml:space="preserve">skill_ghost_array</x:t>
  </x:si>
  <x:si>
    <x:t xml:space="preserve">诛邪符阵</x:t>
  </x:si>
  <x:si>
    <x:t xml:space="preserve">55%法+25%神；对鬼类+30%并附每秒10%法符火/60 tick</x:t>
  </x:si>
  <x:si>
    <x:t xml:space="preserve">70%法+30%神；对鬼类+45%，符火每秒15%法/80 tick</x:t>
  </x:si>
  <x:si>
    <x:t xml:space="preserve">skill_ghost_restore</x:t>
  </x:si>
  <x:si>
    <x:t xml:space="preserve">安魂回元箓</x:t>
  </x:si>
  <x:si>
    <x:t xml:space="preserve">中上群疗=58%法+25%定/人；定力+10%/100 tick</x:t>
  </x:si>
  <x:si>
    <x:t xml:space="preserve">群疗=70%法+30%定/人；定力+14%/120 tick</x:t>
  </x:si>
  <x:si>
    <x:t xml:space="preserve">万象符脉→天元符君</x:t>
  </x:si>
  <x:si>
    <x:t xml:space="preserve">skill_myriad_arrow</x:t>
  </x:si>
  <x:si>
    <x:t xml:space="preserve">破灵符矢</x:t>
  </x:si>
  <x:si>
    <x:t xml:space="preserve">120%法+35%神；降抗10%/80 tick</x:t>
  </x:si>
  <x:si>
    <x:t xml:space="preserve">145%法+45%神；降抗15%/100 tick</x:t>
  </x:si>
  <x:si>
    <x:t xml:space="preserve">17_1.0职业技能数值_草案.md 第115行</x:t>
  </x:si>
  <x:si>
    <x:t xml:space="preserve">skill_myriad_restore</x:t>
  </x:si>
  <x:si>
    <x:t xml:space="preserve">六甲增元箓</x:t>
  </x:si>
  <x:si>
    <x:t xml:space="preserve">友方最低生命</x:t>
  </x:si>
  <x:si>
    <x:t xml:space="preserve">中高单疗=95%法+40%定；仅该目标护体+18%/100 tick</x:t>
  </x:si>
  <x:si>
    <x:t xml:space="preserve">单疗=125%法+50%定；仅该目标护体+25%/120 tick</x:t>
  </x:si>
  <x:si>
    <x:t xml:space="preserve">skill_myriad_puppet</x:t>
  </x:si>
  <x:si>
    <x:t xml:space="preserve">力士符傀</x:t>
  </x:si>
  <x:si>
    <x:t xml:space="preserve">召唤</x:t>
  </x:si>
  <x:si>
    <x:t xml:space="preserve">召唤生命=120+250%白灵法力+300%白灵定力；嘲讽160/100 tick；存在180 tick</x:t>
  </x:si>
  <x:si>
    <x:t xml:space="preserve">生命=160+280%法+340%定；嘲讽190/120 tick；存在200 tick</x:t>
  </x:si>
  <x:si>
    <x:t xml:space="preserve">. 剑修</x:t>
  </x:si>
  <x:si>
    <x:t xml:space="preserve">青冥剑修→青冥剑君</x:t>
  </x:si>
  <x:si>
    <x:t xml:space="preserve">skill_azure_star</x:t>
  </x:si>
  <x:si>
    <x:t xml:space="preserve">青冥点星</x:t>
  </x:si>
  <x:si>
    <x:t xml:space="preserve">105%力+40%神；暴击+15%；不受飞行命中惩罚</x:t>
  </x:si>
  <x:si>
    <x:t xml:space="preserve">120%力+50%神；暴击+20%</x:t>
  </x:si>
  <x:si>
    <x:t xml:space="preserve">17_1.0职业技能数值_草案.md 第129行</x:t>
  </x:si>
  <x:si>
    <x:t xml:space="preserve">skill_azure_chase</x:t>
  </x:si>
  <x:si>
    <x:t xml:space="preserve">分光追影</x:t>
  </x:si>
  <x:si>
    <x:t xml:space="preserve">3段×45%力+18%神；每段独立暴击</x:t>
  </x:si>
  <x:si>
    <x:t xml:space="preserve">4段×42%力+20%神；前段暴击使后段暴击+5%</x:t>
  </x:si>
  <x:si>
    <x:t xml:space="preserve">skill_azure_dot</x:t>
  </x:si>
  <x:si>
    <x:t xml:space="preserve">剑煞归流</x:t>
  </x:si>
  <x:si>
    <x:t xml:space="preserve">110%力+40%神+剑煞每层25%力；刷新剑煞时间，不清层</x:t>
  </x:si>
  <x:si>
    <x:t xml:space="preserve">130%力+50%神+每层30%力；刷新时间</x:t>
  </x:si>
  <x:si>
    <x:t xml:space="preserve">玄岳剑修→玄岳剑君</x:t>
  </x:si>
  <x:si>
    <x:t xml:space="preserve">skill_heavy_break</x:t>
  </x:si>
  <x:si>
    <x:t xml:space="preserve">玄岳破甲</x:t>
  </x:si>
  <x:si>
    <x:t xml:space="preserve">155%力+35%神物理；破甲18%/100 tick</x:t>
  </x:si>
  <x:si>
    <x:t xml:space="preserve">180%力+45%神；破甲25%/120 tick</x:t>
  </x:si>
  <x:si>
    <x:t xml:space="preserve">17_1.0职业技能数值_草案.md 第140行</x:t>
  </x:si>
  <x:si>
    <x:t xml:space="preserve">skill_heavy_stun</x:t>
  </x:si>
  <x:si>
    <x:t xml:space="preserve">剑脊震岳</x:t>
  </x:si>
  <x:si>
    <x:t xml:space="preserve">70%力+20%肉低额物伤；25%基础命中眩晕24 tick</x:t>
  </x:si>
  <x:si>
    <x:t xml:space="preserve">85%力+25%肉；30%基础命中眩晕28 tick</x:t>
  </x:si>
  <x:si>
    <x:t xml:space="preserve">skill_heavy_sweep</x:t>
  </x:si>
  <x:si>
    <x:t xml:space="preserve">横剑断山</x:t>
  </x:si>
  <x:si>
    <x:t xml:space="preserve">80%力+25%肉中等物伤</x:t>
  </x:si>
  <x:si>
    <x:t xml:space="preserve">100%力+30%肉物伤</x:t>
  </x:si>
  <x:si>
    <x:t xml:space="preserve">技能与 Boss 机制对应</x:t>
  </x:si>
  <x:si>
    <x:t xml:space="preserve">事实源：17_1.0职业技能数值_草案.md §8</x:t>
  </x:si>
  <x:si>
    <x:t xml:space="preserve">需求</x:t>
  </x:si>
  <x:si>
    <x:t xml:space="preserve">主解</x:t>
  </x:si>
  <x:si>
    <x:t xml:space="preserve">替代解</x:t>
  </x:si>
  <x:si>
    <x:t xml:space="preserve">装备容错</x:t>
  </x:si>
  <x:si>
    <x:t xml:space="preserve">稳定承伤</x:t>
  </x:si>
  <x:si>
    <x:t xml:space="preserve">护法金身嘲讽</x:t>
  </x:si>
  <x:si>
    <x:t xml:space="preserve">万象力士符傀；魔相/玄岳高肉身</x:t>
  </x:si>
  <x:si>
    <x:t xml:space="preserve">镇魔宝甲、封魔令</x:t>
  </x:si>
  <x:si>
    <x:t xml:space="preserve">处理飞行</x:t>
  </x:si>
  <x:si>
    <x:t xml:space="preserve">青冥飞剑、法术</x:t>
  </x:si>
  <x:si>
    <x:t xml:space="preserve">装备明示对空</x:t>
  </x:si>
  <x:si>
    <x:t xml:space="preserve">残翅骨环、镇魔剑胚</x:t>
  </x:si>
  <x:si>
    <x:t xml:space="preserve">群体续航</x:t>
  </x:si>
  <x:si>
    <x:t xml:space="preserve">镇幽安魂回元箓</x:t>
  </x:si>
  <x:si>
    <x:t xml:space="preserve">五行归元、雷泽回元</x:t>
  </x:si>
  <x:si>
    <x:t xml:space="preserve">回春玉、太清符印</x:t>
  </x:si>
  <x:si>
    <x:t xml:space="preserve">危急单体保护</x:t>
  </x:si>
  <x:si>
    <x:t xml:space="preserve">万象六甲增元箓</x:t>
  </x:si>
  <x:si>
    <x:t xml:space="preserve">力士符傀吸引后续单体技能</x:t>
  </x:si>
  <x:si>
    <x:t xml:space="preserve">清灵囊、黑风定界珠</x:t>
  </x:si>
  <x:si>
    <x:t xml:space="preserve">鬼物/残魂</x:t>
  </x:si>
  <x:si>
    <x:t xml:space="preserve">镇幽符脉</x:t>
  </x:si>
  <x:si>
    <x:t xml:space="preserve">雷法、对鬼装备</x:t>
  </x:si>
  <x:si>
    <x:t xml:space="preserve">护魂牌、太清护魂符</x:t>
  </x:si>
  <x:si>
    <x:t xml:space="preserve">打断/拆护甲</x:t>
  </x:si>
  <x:si>
    <x:t xml:space="preserve">玄岳剑脊震岳/玄岳破甲</x:t>
  </x:si>
  <x:si>
    <x:t xml:space="preserve">镇狱掌印、破灵符矢</x:t>
  </x:si>
  <x:si>
    <x:t xml:space="preserve">铸灵指环</x:t>
  </x:si>
  <x:si>
    <x:t xml:space="preserve">装备品质、器纹预算与掉落</x:t>
  </x:si>
  <x:si>
    <x:t xml:space="preserve">非古宝七维只来自器纹；品质由铁胚决定，器纹槽由蓝图决定，装备不存在等级</x:t>
  </x:si>
  <x:si>
    <x:t xml:space="preserve">品质倍率</x:t>
  </x:si>
  <x:si>
    <x:t xml:space="preserve">输入来自装备数值 §2.1</x:t>
  </x:si>
  <x:si>
    <x:t xml:space="preserve">品质</x:t>
  </x:si>
  <x:si>
    <x:t xml:space="preserve">qualityMultiplier</x:t>
  </x:si>
  <x:si>
    <x:t xml:space="preserve">凡品</x:t>
  </x:si>
  <x:si>
    <x:t xml:space="preserve">精制</x:t>
  </x:si>
  <x:si>
    <x:t xml:space="preserve">上品</x:t>
  </x:si>
  <x:si>
    <x:t xml:space="preserve">珍品</x:t>
  </x:si>
  <x:si>
    <x:t xml:space="preserve">法宝</x:t>
  </x:si>
  <x:si>
    <x:t xml:space="preserve">器纹结果预算矩阵</x:t>
  </x:si>
  <x:si>
    <x:t xml:space="preserve">公式：floor(蓝图每纹预算 × qualityMultiplier)；行衣护体/定力另乘 0.75</x:t>
  </x:si>
  <x:si>
    <x:t xml:space="preserve">蓝图阶段</x:t>
  </x:si>
  <x:si>
    <x:t xml:space="preserve">槽位</x:t>
  </x:si>
  <x:si>
    <x:t xml:space="preserve">基础每纹预算</x:t>
  </x:si>
  <x:si>
    <x:t xml:space="preserve">基础</x:t>
  </x:si>
  <x:si>
    <x:t xml:space="preserve">武器</x:t>
  </x:si>
  <x:si>
    <x:t xml:space="preserve">防具</x:t>
  </x:si>
  <x:si>
    <x:t xml:space="preserve">饰品</x:t>
  </x:si>
  <x:si>
    <x:t xml:space="preserve">白玉</x:t>
  </x:si>
  <x:si>
    <x:t xml:space="preserve">灵宝</x:t>
  </x:si>
  <x:si>
    <x:t xml:space="preserve">洞玄</x:t>
  </x:si>
  <x:si>
    <x:t xml:space="preserve">通关后</x:t>
  </x:si>
  <x:si>
    <x:t xml:space="preserve">打造灵石费</x:t>
  </x:si>
  <x:si>
    <x:t xml:space="preserve">制式与特装使用同品质打造费；不含已经炼制器纹的费用</x:t>
  </x:si>
  <x:si>
    <x:t xml:space="preserve">打造费（灵石）</x:t>
  </x:si>
  <x:si>
    <x:t xml:space="preserve">3.1 模板决定资格、外观与固定属性</x:t>
  </x:si>
  <x:si>
    <x:t xml:space="preserve">事实源：18_1.0装备与掉落数值_草案.md 第97行</x:t>
  </x:si>
  <x:si>
    <x:t xml:space="preserve">模板组</x:t>
  </x:si>
  <x:si>
    <x:t xml:space="preserve">可用类型</x:t>
  </x:si>
  <x:si>
    <x:t xml:space="preserve">资格与表现</x:t>
  </x:si>
  <x:si>
    <x:t xml:space="preserve">金刚禅器</x:t>
  </x:si>
  <x:si>
    <x:t xml:space="preserve">禅杖、金刚轮、降魔杵</x:t>
  </x:si>
  <x:si>
    <x:t xml:space="preserve">仅金刚禅修体系使用；不提供七维倾向</x:t>
  </x:si>
  <x:si>
    <x:t xml:space="preserve">五行法器</x:t>
  </x:si>
  <x:si>
    <x:t xml:space="preserve">法盘、法轮、法镜、灵珠</x:t>
  </x:si>
  <x:si>
    <x:t xml:space="preserve">仅五行法修体系使用；不提供七维倾向</x:t>
  </x:si>
  <x:si>
    <x:t xml:space="preserve">玄箓符器</x:t>
  </x:si>
  <x:si>
    <x:t xml:space="preserve">符匣、法印、箓册、针匣、符鼎</x:t>
  </x:si>
  <x:si>
    <x:t xml:space="preserve">仅玄箓修体系使用；不提供七维倾向</x:t>
  </x:si>
  <x:si>
    <x:t xml:space="preserve">剑器</x:t>
  </x:si>
  <x:si>
    <x:t xml:space="preserve">剑丸、剑匣、剑胚、重锋</x:t>
  </x:si>
  <x:si>
    <x:t xml:space="preserve">仅剑修体系使用；不提供七维倾向</x:t>
  </x:si>
  <x:si>
    <x:t xml:space="preserve">玄甲</x:t>
  </x:si>
  <x:si>
    <x:t xml:space="preserve">锁甲、玄甲、战衣</x:t>
  </x:si>
  <x:si>
    <x:t xml:space="preserve">全职业通用</x:t>
  </x:si>
  <x:si>
    <x:t xml:space="preserve">法衣</x:t>
  </x:si>
  <x:si>
    <x:t xml:space="preserve">道袍、法袍、法衣</x:t>
  </x:si>
  <x:si>
    <x:t xml:space="preserve">行衣</x:t>
  </x:si>
  <x:si>
    <x:t xml:space="preserve">短衣、行衣、轻袍</x:t>
  </x:si>
  <x:si>
    <x:t xml:space="preserve">命中饰品</x:t>
  </x:si>
  <x:si>
    <x:t xml:space="preserve">玉佩、指环、护镜、灵囊、骨环中的对应外观</x:t>
  </x:si>
  <x:si>
    <x:t xml:space="preserve">全职业通用；固定增加命中</x:t>
  </x:si>
  <x:si>
    <x:t xml:space="preserve">闪避饰品</x:t>
  </x:si>
  <x:si>
    <x:t xml:space="preserve">全职业通用；固定增加闪避</x:t>
  </x:si>
  <x:si>
    <x:t xml:space="preserve">暴击饰品</x:t>
  </x:si>
  <x:si>
    <x:t xml:space="preserve">全职业通用；固定增加暴击</x:t>
  </x:si>
  <x:si>
    <x:t xml:space="preserve">治疗饰品</x:t>
  </x:si>
  <x:si>
    <x:t xml:space="preserve">全职业通用；固定增加治疗</x:t>
  </x:si>
  <x:si>
    <x:t xml:space="preserve">状态抵抗饰品</x:t>
  </x:si>
  <x:si>
    <x:t xml:space="preserve">全职业通用；固定增加状态抵抗</x:t>
  </x:si>
  <x:si>
    <x:t xml:space="preserve">事实源：18_1.0装备与掉落数值_草案.md 第122行</x:t>
  </x:si>
  <x:si>
    <x:t xml:space="preserve">饰品模板</x:t>
  </x:si>
  <x:si>
    <x:t xml:space="preserve">明心镜·命中</x:t>
  </x:si>
  <x:si>
    <x:t xml:space="preserve">+4%</x:t>
  </x:si>
  <x:si>
    <x:t xml:space="preserve">+5%</x:t>
  </x:si>
  <x:si>
    <x:t xml:space="preserve">+6%</x:t>
  </x:si>
  <x:si>
    <x:t xml:space="preserve">+8%</x:t>
  </x:si>
  <x:si>
    <x:t xml:space="preserve">+10%</x:t>
  </x:si>
  <x:si>
    <x:t xml:space="preserve">流云扣·闪避</x:t>
  </x:si>
  <x:si>
    <x:t xml:space="preserve">+3%</x:t>
  </x:si>
  <x:si>
    <x:t xml:space="preserve">破军环·暴击</x:t>
  </x:si>
  <x:si>
    <x:t xml:space="preserve">回春佩·直接恢复</x:t>
  </x:si>
  <x:si>
    <x:t xml:space="preserve">+12%</x:t>
  </x:si>
  <x:si>
    <x:t xml:space="preserve">定神珠·状态抵抗</x:t>
  </x:si>
  <x:si>
    <x:t xml:space="preserve">3.2 通用器纹允许池</x:t>
  </x:si>
  <x:si>
    <x:t xml:space="preserve">事实源：18_1.0装备与掉落数值_草案.md 第134行</x:t>
  </x:si>
  <x:si>
    <x:t xml:space="preserve">装备类型</x:t>
  </x:si>
  <x:si>
    <x:t xml:space="preserve">可附着器纹</x:t>
  </x:si>
  <x:si>
    <x:t xml:space="preserve">禁止/削弱规则</x:t>
  </x:si>
  <x:si>
    <x:t xml:space="preserve">所有制式武器</x:t>
  </x:si>
  <x:si>
    <x:t xml:space="preserve">力道、法力、神识、遁速、肉身</x:t>
  </x:si>
  <x:si>
    <x:t xml:space="preserve">不出现护体、定力</x:t>
  </x:si>
  <x:si>
    <x:t xml:space="preserve">所有制式饰品</x:t>
  </x:si>
  <x:si>
    <x:t xml:space="preserve">力道、法力、神识、遁速、肉身、护体</x:t>
  </x:si>
  <x:si>
    <x:t xml:space="preserve">不出现定力</x:t>
  </x:si>
  <x:si>
    <x:t xml:space="preserve">力道、法力、神识、遁速、肉身、定力</x:t>
  </x:si>
  <x:si>
    <x:t xml:space="preserve">不出现护体</x:t>
  </x:si>
  <x:si>
    <x:t xml:space="preserve">全部七维</x:t>
  </x:si>
  <x:si>
    <x:t xml:space="preserve">护体、定力使用0.75削弱系数</x:t>
  </x:si>
  <x:si>
    <x:t xml:space="preserve">3.4 旧装备 ID 转制式模板</x:t>
  </x:si>
  <x:si>
    <x:t xml:space="preserve">事实源：18_1.0装备与掉落数值_草案.md 第160行</x:t>
  </x:si>
  <x:si>
    <x:t xml:space="preserve">保留 ID</x:t>
  </x:si>
  <x:si>
    <x:t xml:space="preserve">1.0 制式显示模板</x:t>
  </x:si>
  <x:si>
    <x:t xml:space="preserve">类型</x:t>
  </x:si>
  <x:si>
    <x:t xml:space="preserve">w01_sword_tiemu</x:t>
  </x:si>
  <x:si>
    <x:t xml:space="preserve">铁木重锋</x:t>
  </x:si>
  <x:si>
    <x:t xml:space="preserve">w01_orb_juhuo</x:t>
  </x:si>
  <x:si>
    <x:t xml:space="preserve">聚火灵珠</x:t>
  </x:si>
  <x:si>
    <x:t xml:space="preserve">w01_needles_qingnang</x:t>
  </x:si>
  <x:si>
    <x:t xml:space="preserve">青囊针匣</x:t>
  </x:si>
  <x:si>
    <x:t xml:space="preserve">w01_daggers_wugang</x:t>
  </x:si>
  <x:si>
    <x:t xml:space="preserve">乌钢降魔杵</x:t>
  </x:si>
  <x:si>
    <x:t xml:space="preserve">a01_old_mail</x:t>
  </x:si>
  <x:si>
    <x:t xml:space="preserve">旧营锁甲</x:t>
  </x:si>
  <x:si>
    <x:t xml:space="preserve">a01_dust_robe</x:t>
  </x:si>
  <x:si>
    <x:t xml:space="preserve">避尘道袍</x:t>
  </x:si>
  <x:si>
    <x:t xml:space="preserve">r01_heart_mirror</x:t>
  </x:si>
  <x:si>
    <x:t xml:space="preserve">护心镜</x:t>
  </x:si>
  <x:si>
    <x:t xml:space="preserve">r01_spirit_jade</x:t>
  </x:si>
  <x:si>
    <x:t xml:space="preserve">引灵玉</x:t>
  </x:si>
  <x:si>
    <x:t xml:space="preserve">r01_medicine_pendant</x:t>
  </x:si>
  <x:si>
    <x:t xml:space="preserve">药王佩</x:t>
  </x:si>
  <x:si>
    <x:t xml:space="preserve">r01_night_buckle</x:t>
  </x:si>
  <x:si>
    <x:t xml:space="preserve">夜行扣</x:t>
  </x:si>
  <x:si>
    <x:t xml:space="preserve">w02_sword_zhenwen</x:t>
  </x:si>
  <x:si>
    <x:t xml:space="preserve">镇纹剑匣</x:t>
  </x:si>
  <x:si>
    <x:t xml:space="preserve">w02_disc_sixiang</x:t>
  </x:si>
  <x:si>
    <x:t xml:space="preserve">四象法盘</x:t>
  </x:si>
  <x:si>
    <x:t xml:space="preserve">w02_cauldron_huiyuan</x:t>
  </x:si>
  <x:si>
    <x:t xml:space="preserve">回元符鼎</x:t>
  </x:si>
  <x:si>
    <x:t xml:space="preserve">w02_daggers_pozhen</x:t>
  </x:si>
  <x:si>
    <x:t xml:space="preserve">破阵金刚轮</x:t>
  </x:si>
  <x:si>
    <x:t xml:space="preserve">a02_jade_mail</x:t>
  </x:si>
  <x:si>
    <x:t xml:space="preserve">白玉玄甲</x:t>
  </x:si>
  <x:si>
    <x:t xml:space="preserve">a02_four_robe</x:t>
  </x:si>
  <x:si>
    <x:t xml:space="preserve">四象法衣</x:t>
  </x:si>
  <x:si>
    <x:t xml:space="preserve">r02_array_pendant</x:t>
  </x:si>
  <x:si>
    <x:t xml:space="preserve">阵眼玉佩</x:t>
  </x:si>
  <x:si>
    <x:t xml:space="preserve">r02_cold_ring</x:t>
  </x:si>
  <x:si>
    <x:t xml:space="preserve">寒髓环</x:t>
  </x:si>
  <x:si>
    <x:t xml:space="preserve">r02_soul_bell</x:t>
  </x:si>
  <x:si>
    <x:t xml:space="preserve">追魂铃</x:t>
  </x:si>
  <x:si>
    <x:t xml:space="preserve">w03_sword_bixie</x:t>
  </x:si>
  <x:si>
    <x:t xml:space="preserve">辟邪剑胚</x:t>
  </x:si>
  <x:si>
    <x:t xml:space="preserve">w03_cauldron_baicao</x:t>
  </x:si>
  <x:si>
    <x:t xml:space="preserve">百草符鼎</x:t>
  </x:si>
  <x:si>
    <x:t xml:space="preserve">w03_blade_wuying</x:t>
  </x:si>
  <x:si>
    <x:t xml:space="preserve">无影法镜</x:t>
  </x:si>
  <x:si>
    <x:t xml:space="preserve">a03_ancient_mail</x:t>
  </x:si>
  <x:si>
    <x:t xml:space="preserve">古修玄甲</x:t>
  </x:si>
  <x:si>
    <x:t xml:space="preserve">a03_treasure_robe</x:t>
  </x:si>
  <x:si>
    <x:t xml:space="preserve">灵宝法袍</x:t>
  </x:si>
  <x:si>
    <x:t xml:space="preserve">w04_cauldron_taiqing</x:t>
  </x:si>
  <x:si>
    <x:t xml:space="preserve">太清符鼎</x:t>
  </x:si>
  <x:si>
    <x:t xml:space="preserve">w04_blade_bimo</x:t>
  </x:si>
  <x:si>
    <x:t xml:space="preserve">辟魔金刚轮</x:t>
  </x:si>
  <x:si>
    <x:t xml:space="preserve">4.1 完整装备出现率</x:t>
  </x:si>
  <x:si>
    <x:t xml:space="preserve">事实源：18_1.0装备与掉落数值_草案.md 第198行</x:t>
  </x:si>
  <x:si>
    <x:t xml:space="preserve">完整装备规则</x:t>
  </x:si>
  <x:si>
    <x:t xml:space="preserve">普通敌群</x:t>
  </x:si>
  <x:si>
    <x:t xml:space="preserve">胜利后 6% 概率生成 1 件当前地图制式装备</x:t>
  </x:si>
  <x:si>
    <x:t xml:space="preserve">精英首次击杀</x:t>
  </x:si>
  <x:si>
    <x:t xml:space="preserve">固定生成 1 件；重复击杀 18% 概率生成 1 件</x:t>
  </x:si>
  <x:si>
    <x:t xml:space="preserve">固定生成 2 件；不固定职业、槽位和属性</x:t>
  </x:si>
  <x:si>
    <x:t xml:space="preserve">普通宝箱</x:t>
  </x:si>
  <x:si>
    <x:t xml:space="preserve">35% 概率为制式装备，否则为材料或灵石</x:t>
  </x:si>
  <x:si>
    <x:t xml:space="preserve">隐藏宝箱/高危区宝箱</x:t>
  </x:si>
  <x:si>
    <x:t xml:space="preserve">固定生成 1 件，不固定具体模板</x:t>
  </x:si>
  <x:si>
    <x:t xml:space="preserve">1.0资源副本</x:t>
  </x:si>
  <x:si>
    <x:t xml:space="preserve">核心奖励为灵石或魂晶；低概率附加凡品至上品制式装备，概率与品质上限低于同档精英、Boss和高危宝箱</x:t>
  </x:si>
  <x:si>
    <x:t xml:space="preserve">4.2 生成装备后的品质分布</x:t>
  </x:si>
  <x:si>
    <x:t xml:space="preserve">事实源：18_1.0装备与掉落数值_草案.md 第215行</x:t>
  </x:si>
  <x:si>
    <x:t xml:space="preserve">古宝</x:t>
  </x:si>
  <x:si>
    <x:t xml:space="preserve">地图 1</x:t>
  </x:si>
  <x:si>
    <x:t xml:space="preserve">地图 2</x:t>
  </x:si>
  <x:si>
    <x:t xml:space="preserve">地图 3</x:t>
  </x:si>
  <x:si>
    <x:t xml:space="preserve">地图 4</x:t>
  </x:si>
  <x:si>
    <x:t xml:space="preserve">6.1 铁胚</x:t>
  </x:si>
  <x:si>
    <x:t xml:space="preserve">事实源：18_1.0装备与掉落数值_草案.md 第326行</x:t>
  </x:si>
  <x:si>
    <x:t xml:space="preserve">铁胚</x:t>
  </x:si>
  <x:si>
    <x:t xml:space="preserve">玄铁</x:t>
  </x:si>
  <x:si>
    <x:t xml:space="preserve">庚精</x:t>
  </x:si>
  <x:si>
    <x:t xml:space="preserve">产出</x:t>
  </x:si>
  <x:si>
    <x:t xml:space="preserve">6.5 重铸与分解边界</x:t>
  </x:si>
  <x:si>
    <x:t xml:space="preserve">事实源：18_1.0装备与掉落数值_草案.md 第372行</x:t>
  </x:si>
  <x:si>
    <x:t xml:space="preserve">器灵残片</x:t>
  </x:si>
  <x:si>
    <x:t xml:space="preserve">特定装备与古宝</x:t>
  </x:si>
  <x:si>
    <x:t xml:space="preserve">非古宝特装仍使用器纹获得七维；古宝七维与效果固定，不能打造、附纹或分解</x:t>
  </x:si>
  <x:si>
    <x:t xml:space="preserve">5.2 上品特定装备</x:t>
  </x:si>
  <x:si>
    <x:t xml:space="preserve">事实源：18_1.0装备与掉落数值_草案.md 第252行</x:t>
  </x:si>
  <x:si>
    <x:t xml:space="preserve">ID/名称</x:t>
  </x:si>
  <x:si>
    <x:t xml:space="preserve">每纹预算</x:t>
  </x:si>
  <x:si>
    <x:t xml:space="preserve">固定效果</x:t>
  </x:si>
  <x:si>
    <x:t xml:space="preserve">七维池覆盖</x:t>
  </x:si>
  <x:si>
    <x:t xml:space="preserve">r01_guard_token 护法令碎片</x:t>
  </x:si>
  <x:si>
    <x:t xml:space="preserve">嘲讽强度+20；金轮反照反伤+5个百分点</x:t>
  </x:si>
  <x:si>
    <x:t xml:space="preserve">允许护体、定力</x:t>
  </x:si>
  <x:si>
    <x:t xml:space="preserve">守门石灵首杀</x:t>
  </x:si>
  <x:si>
    <x:t xml:space="preserve">r01_talisman_pendant 符心佩</x:t>
  </x:si>
  <x:si>
    <x:t xml:space="preserve">直接恢复+6%</x:t>
  </x:si>
  <x:si>
    <x:t xml:space="preserve">无</x:t>
  </x:si>
  <x:si>
    <x:t xml:space="preserve">顾南炉救援</x:t>
  </x:si>
  <x:si>
    <x:t xml:space="preserve">r02_thunder_bead 雷纹珠</x:t>
  </x:si>
  <x:si>
    <x:t xml:space="preserve">雷印每层雷伤加成额外+2个百分点</x:t>
  </x:si>
  <x:si>
    <x:t xml:space="preserve">东阵眼导雷</x:t>
  </x:si>
  <x:si>
    <x:t xml:space="preserve">r02_mirage_ring 蜃光环</x:t>
  </x:si>
  <x:si>
    <x:t xml:space="preserve">迷神 DoT+8%；镜花惑心减益命中+8%</x:t>
  </x:si>
  <x:si>
    <x:t xml:space="preserve">西阵眼幻境</x:t>
  </x:si>
  <x:si>
    <x:t xml:space="preserve">r02_clear_pouch 清灵囊</x:t>
  </x:si>
  <x:si>
    <x:t xml:space="preserve">直接恢复+5%；尸毒治疗抑制降低10个百分点</x:t>
  </x:si>
  <x:si>
    <x:t xml:space="preserve">允许定力</x:t>
  </x:si>
  <x:si>
    <x:t xml:space="preserve">木魅庭院隐藏救援</x:t>
  </x:si>
  <x:si>
    <x:t xml:space="preserve">5.3 珍品特定装备</x:t>
  </x:si>
  <x:si>
    <x:t xml:space="preserve">事实源：18_1.0装备与掉落数值_草案.md 第264行</x:t>
  </x:si>
  <x:si>
    <x:t xml:space="preserve">确定来源/任务链</x:t>
  </x:si>
  <x:si>
    <x:t xml:space="preserve">w03_vajra_soul 镇邪禅珠</x:t>
  </x:si>
  <x:si>
    <x:t xml:space="preserve">金轮反照反伤+8个百分点；吞元炼血伤害转疗+10个百分点</x:t>
  </x:si>
  <x:si>
    <x:t xml:space="preserve">灵宝阁守卫→禅珠残片→铸灵炉复原</x:t>
  </x:si>
  <x:si>
    <x:t xml:space="preserve">w03_wheel_wuhuo 五火法轮</x:t>
  </x:si>
  <x:si>
    <x:t xml:space="preserve">直接法伤35%基础命中附加每秒10%法灼烧/60 tick</x:t>
  </x:si>
  <x:si>
    <x:t xml:space="preserve">真假灵宝→取得火轮残胚→熔炉重启</x:t>
  </x:si>
  <x:si>
    <x:t xml:space="preserve">w03_talisman_zhenyou 镇幽符匣</x:t>
  </x:si>
  <x:si>
    <x:t xml:space="preserve">对鬼类伤害+15%；直接恢复+10%</x:t>
  </x:si>
  <x:si>
    <x:t xml:space="preserve">三老碑文→四象阵砂→安置残魂</x:t>
  </x:si>
  <x:si>
    <x:t xml:space="preserve">w03_sword_lingbao 铸灵剑胚</x:t>
  </x:si>
  <x:si>
    <x:t xml:space="preserve">青冥暴击后行动间隔-10%；玄岳首次破甲延长40 tick</x:t>
  </x:si>
  <x:si>
    <x:t xml:space="preserve">允许护体</x:t>
  </x:si>
  <x:si>
    <x:t xml:space="preserve">失控剑灵→剑灵锋→修复剑炉</x:t>
  </x:si>
  <x:si>
    <x:t xml:space="preserve">r03_soul_tablet 护魂牌</x:t>
  </x:si>
  <x:si>
    <x:t xml:space="preserve">恐惧状态命中-20%</x:t>
  </x:si>
  <x:si>
    <x:t xml:space="preserve">五鬼伏击→完成至少一魂遗愿→封存残魂或击退韩枭</x:t>
  </x:si>
  <x:si>
    <x:t xml:space="preserve">r03_storage_buckle 须弥扣</x:t>
  </x:si>
  <x:si>
    <x:t xml:space="preserve">负重+25</x:t>
  </x:si>
  <x:si>
    <x:t xml:space="preserve">允许肉身、护体</x:t>
  </x:si>
  <x:si>
    <x:t xml:space="preserve">本命元牌完整支线</x:t>
  </x:si>
  <x:si>
    <x:t xml:space="preserve">r03_forge_ring 铸灵指环</x:t>
  </x:si>
  <x:si>
    <x:t xml:space="preserve">对护盾目标伤害+12%</x:t>
  </x:si>
  <x:si>
    <x:t xml:space="preserve">铸灵堂核心支线</x:t>
  </x:si>
  <x:si>
    <x:t xml:space="preserve">r03_insight_lens 洞玄镜片</x:t>
  </x:si>
  <x:si>
    <x:t xml:space="preserve">DoT伤害+6%；机关探查神识+10</x:t>
  </x:si>
  <x:si>
    <x:t xml:space="preserve">真假灵宝→识破空间宝匣；或本命元牌交化仙宗保管</x:t>
  </x:si>
  <x:si>
    <x:t xml:space="preserve">r03_spring_jade 回春玉</x:t>
  </x:si>
  <x:si>
    <x:t xml:space="preserve">直接恢复+10%</x:t>
  </x:si>
  <x:si>
    <x:t xml:space="preserve">化仙宗遗命中段</x:t>
  </x:si>
  <x:si>
    <x:t xml:space="preserve">r04_wing_ring 残翅骨环</x:t>
  </x:si>
  <x:si>
    <x:t xml:space="preserve">命中+8%；对飞行目标伤害+12%</x:t>
  </x:si>
  <x:si>
    <x:t xml:space="preserve">银翅残羽首杀开放净化节点→最终Boss战后取残翅本源</x:t>
  </x:si>
  <x:si>
    <x:t xml:space="preserve">r04_core_pendant 凝金玉佩</x:t>
  </x:si>
  <x:si>
    <x:t xml:space="preserve">筑基定型的三个核心技能属性倍率+5个百分点</x:t>
  </x:si>
  <x:si>
    <x:t xml:space="preserve">个人结丹试炼；配方可打造4件</x:t>
  </x:si>
  <x:si>
    <x:t xml:space="preserve">r04_pure_talisman 太清护魂符</x:t>
  </x:si>
  <x:si>
    <x:t xml:space="preserve">DoT伤害-15%；恐惧状态命中-20%</x:t>
  </x:si>
  <x:si>
    <x:t xml:space="preserve">化仙宗遗命最终节点；或五鬼袋净化节点</x:t>
  </x:si>
  <x:si>
    <x:t xml:space="preserve">r04_seal_order 封魔令</x:t>
  </x:si>
  <x:si>
    <x:t xml:space="preserve">魔气状态命中-20%；魔气侵蚀的受伤增幅减半</x:t>
  </x:si>
  <x:si>
    <x:t xml:space="preserve">三条封链主线汇流</x:t>
  </x:si>
  <x:si>
    <x:t xml:space="preserve">r04_five_ghost_ring 五鬼噬灵环</x:t>
  </x:si>
  <x:si>
    <x:t xml:space="preserve">直接攻击20%基础命中附加定力-10%/80 tick</x:t>
  </x:si>
  <x:si>
    <x:t xml:space="preserve">五鬼袋→至少三魂遗愿→选择炼成法器</x:t>
  </x:si>
  <x:si>
    <x:t xml:space="preserve">5.4 乌婆Boss魂器</x:t>
  </x:si>
  <x:si>
    <x:t xml:space="preserve">事实源：18_1.0装备与掉落数值_草案.md 第288行</x:t>
  </x:si>
  <x:si>
    <x:t xml:space="preserve">模板/槽位</x:t>
  </x:si>
  <x:si>
    <x:t xml:space="preserve">固定附着器纹</x:t>
  </x:si>
  <x:si>
    <x:t xml:space="preserve">直接来源</x:t>
  </x:si>
  <x:si>
    <x:t xml:space="preserve">a02_soul_banner_mail 封坛军魂甲</x:t>
  </x:si>
  <x:si>
    <x:t xml:space="preserve">玄甲/防具</x:t>
  </x:si>
  <x:si>
    <x:t xml:space="preserve">肉身、护体</x:t>
  </x:si>
  <x:si>
    <x:t xml:space="preserve">尸毒造成的治疗降低效果减少10个百分点；受到敌方召唤单位伤害-8%</x:t>
  </x:si>
  <x:si>
    <x:t xml:space="preserve">封坛尸将魂魄交付乌婆</x:t>
  </x:si>
  <x:si>
    <x:t xml:space="preserve">a04_soul_wing_robe 银翅魂衣</x:t>
  </x:si>
  <x:si>
    <x:t xml:space="preserve">行衣/防具</x:t>
  </x:si>
  <x:si>
    <x:t xml:space="preserve">神识、遁速</x:t>
  </x:si>
  <x:si>
    <x:t xml:space="preserve">攻击飞行目标时受到的普通命中惩罚减少15个百分点；迟缓幅度降低20%</x:t>
  </x:si>
  <x:si>
    <x:t xml:space="preserve">银翅尸煞魂魄交付乌婆</x:t>
  </x:si>
  <x:si>
    <x:t xml:space="preserve">5.5 古宝特定装备</x:t>
  </x:si>
  <x:si>
    <x:t xml:space="preserve">事实源：18_1.0装备与掉落数值_草案.md 第302行</x:t>
  </x:si>
  <x:si>
    <x:t xml:space="preserve">固定七维（力/法/神/速/肉/护/定）</x:t>
  </x:si>
  <x:si>
    <x:t xml:space="preserve">直接获得条件</x:t>
  </x:si>
  <x:si>
    <x:t xml:space="preserve">w04_vajra_zhenmo 镇魔金刚杵</x:t>
  </x:si>
  <x:si>
    <x:t xml:space="preserve">护法线嘲讽+25、金轮反照+12%；魔相线伤害转疗+12%</x:t>
  </x:si>
  <x:si>
    <x:t xml:space="preserve">34/0/12/0/32/28/14</x:t>
  </x:si>
  <x:si>
    <x:t xml:space="preserve">镇邪禅珠+修复镇尸链+金身尸卫残骨+金刚禅修个人结丹试炼</x:t>
  </x:si>
  <x:si>
    <x:t xml:space="preserve">w04_mirror_leihuo 八门雷火镜</x:t>
  </x:si>
  <x:si>
    <x:t xml:space="preserve">对尸煞/魔气+15%；群攻每多命中1敌增伤3%，上限9%</x:t>
  </x:si>
  <x:si>
    <x:t xml:space="preserve">0/36/32/18/8/6/20</x:t>
  </x:si>
  <x:si>
    <x:t xml:space="preserve">五火法轮+修复锁魂链+封魂间火种+五行法修个人结丹试炼</x:t>
  </x:si>
  <x:si>
    <x:t xml:space="preserve">w04_talisman_taiqing 太清符印</x:t>
  </x:si>
  <x:si>
    <x:t xml:space="preserve">镇幽首次群疗+25%；万象首次单疗或符傀生命+25%；其余恢复+10%</x:t>
  </x:si>
  <x:si>
    <x:t xml:space="preserve">0/30/30/8/16/10/26</x:t>
  </x:si>
  <x:si>
    <x:t xml:space="preserve">镇幽符匣+化仙宗遗命“木青萝留营”结局+玄箓修个人结丹试炼</x:t>
  </x:si>
  <x:si>
    <x:t xml:space="preserve">w04_sword_tiangang 天罡镇魔剑胚</x:t>
  </x:si>
  <x:si>
    <x:t xml:space="preserve">青冥不受飞行惩罚且对飞行+10%；玄岳破甲+5个百分点</x:t>
  </x:si>
  <x:si>
    <x:t xml:space="preserve">32/0/36/30/10/8/4</x:t>
  </x:si>
  <x:si>
    <x:t xml:space="preserve">铸灵剑胚+残翎核心+修复镇魔剑炉+剑修个人结丹试炼</x:t>
  </x:si>
  <x:si>
    <x:t xml:space="preserve">a04_demon_mail 镇魔宝甲</x:t>
  </x:si>
  <x:si>
    <x:t xml:space="preserve">尸毒与魔气状态命中-20%</x:t>
  </x:si>
  <x:si>
    <x:t xml:space="preserve">12/0/10/0/38/42/28</x:t>
  </x:si>
  <x:si>
    <x:t xml:space="preserve">三条封链均修复+金身尸卫核心+古修甲片</x:t>
  </x:si>
  <x:si>
    <x:t xml:space="preserve">a04_pure_robe 清虚法衣</x:t>
  </x:si>
  <x:si>
    <x:t xml:space="preserve">恐惧与空间错位效果降低30%</x:t>
  </x:si>
  <x:si>
    <x:t xml:space="preserve">0/26/24/18/18/8/36</x:t>
  </x:si>
  <x:si>
    <x:t xml:space="preserve">化仙宗遗命+结丹祭坛+封魂间清气</x:t>
  </x:si>
  <x:si>
    <x:t xml:space="preserve">r04_space_bead 黑风定界珠</x:t>
  </x:si>
  <x:si>
    <x:t xml:space="preserve">空间错位免疫；每战一次抵消行动条击退</x:t>
  </x:si>
  <x:si>
    <x:t xml:space="preserve">10/12/28/30/16/8/16</x:t>
  </x:si>
  <x:si>
    <x:t xml:space="preserve">黑风封路→击败黑风旗影→修复定界链→回收珠核</x:t>
  </x:si>
  <x:si>
    <x:t xml:space="preserve">普通敌人与精英标准化面板</x:t>
  </x:si>
  <x:si>
    <x:t xml:space="preserve">七维顺序统一拆列；魂晶按首次/重复拆列；缺少稳定 ID 的策划定义保持为空，不擅自补 ID</x:t>
  </x:si>
  <x:si>
    <x:t xml:space="preserve">层级</x:t>
  </x:si>
  <x:si>
    <x:t xml:space="preserve">名称</x:t>
  </x:si>
  <x:si>
    <x:t xml:space="preserve">Lv</x:t>
  </x:si>
  <x:si>
    <x:t xml:space="preserve">七维战力</x:t>
  </x:si>
  <x:si>
    <x:t xml:space="preserve">首次魂晶</x:t>
  </x:si>
  <x:si>
    <x:t xml:space="preserve">重复魂晶</x:t>
  </x:si>
  <x:si>
    <x:t xml:space="preserve">技能/机制</x:t>
  </x:si>
  <x:si>
    <x:t xml:space="preserve">材料/掉落</x:t>
  </x:si>
  <x:si>
    <x:t xml:space="preserve">备注</x:t>
  </x:si>
  <x:si>
    <x:t xml:space="preserve">普通</x:t>
  </x:si>
  <x:si>
    <x:t xml:space="preserve">m1_rubble_rat</x:t>
  </x:si>
  <x:si>
    <x:t xml:space="preserve">噬灵鼠</x:t>
  </x:si>
  <x:si>
    <x:t xml:space="preserve">啮咬90%力；优先最低生命；30%命中附迟缓10%/40tick</x:t>
  </x:si>
  <x:si>
    <x:t xml:space="preserve">兽皮1–2</x:t>
  </x:si>
  <x:si>
    <x:t xml:space="preserve">19_1.0敌人与Boss战斗数值_草案.md 第30行</x:t>
  </x:si>
  <x:si>
    <x:t xml:space="preserve">m1_stone_wisp</x:t>
  </x:si>
  <x:si>
    <x:t xml:space="preserve">碎岩灵</x:t>
  </x:si>
  <x:si>
    <x:t xml:space="preserve">石片95%力；每60tick获得120点盾；优先当前目标</x:t>
  </x:si>
  <x:si>
    <x:t xml:space="preserve">碎石核1</x:t>
  </x:si>
  <x:si>
    <x:t xml:space="preserve">m1_corpse_scout</x:t>
  </x:si>
  <x:si>
    <x:t xml:space="preserve">游荡尸兵</x:t>
  </x:si>
  <x:si>
    <x:t xml:space="preserve">锈刃105%力；尸爪75%力并附每秒3点尸毒/60tick</x:t>
  </x:si>
  <x:si>
    <x:t xml:space="preserve">尸煞骨1</x:t>
  </x:si>
  <x:si>
    <x:t xml:space="preserve">m1_array_glow</x:t>
  </x:si>
  <x:si>
    <x:t xml:space="preserve">残阵灵光</x:t>
  </x:si>
  <x:si>
    <x:t xml:space="preserve">灵闪105%法+20%神；封灵光60%法、沉默20tick/CD120</x:t>
  </x:si>
  <x:si>
    <x:t xml:space="preserve">残符1–2</x:t>
  </x:si>
  <x:si>
    <x:t xml:space="preserve">m1_stone_guard</x:t>
  </x:si>
  <x:si>
    <x:t xml:space="preserve">石甲守卫</x:t>
  </x:si>
  <x:si>
    <x:t xml:space="preserve">重拳110%力；生命&lt;50%使用350点盾/CD140</x:t>
  </x:si>
  <x:si>
    <x:t xml:space="preserve">玄铁1–2</x:t>
  </x:si>
  <x:si>
    <x:t xml:space="preserve">精英</x:t>
  </x:si>
  <x:si>
    <x:t xml:space="preserve">e1_cracked_guard</x:t>
  </x:si>
  <x:si>
    <x:t xml:space="preserve">裂甲石卫</x:t>
  </x:si>
  <x:si>
    <x:t xml:space="preserve">碎岳拳125%力；震地55%力全体/CD100；受物理攻击3次后反震35%力，法伤可清计数</x:t>
  </x:si>
  <x:si>
    <x:t xml:space="preserve">石卫甲片2、玄铁4</x:t>
  </x:si>
  <x:si>
    <x:t xml:space="preserve">19_1.0敌人与Boss战斗数值_草案.md 第43行</x:t>
  </x:si>
  <x:si>
    <x:t xml:space="preserve">e1_banner_corpse</x:t>
  </x:si>
  <x:si>
    <x:t xml:space="preserve">尸煞执旗者</x:t>
  </x:si>
  <x:si>
    <x:t xml:space="preserve">尸旗使同伴伤害+15%；鬼火95%法；每秒5点尸毒/80tick；先杀旗手可解除增益</x:t>
  </x:si>
  <x:si>
    <x:t xml:space="preserve">破旗1、归营符残纸</x:t>
  </x:si>
  <x:si>
    <x:t xml:space="preserve">m2_jade_corpse</x:t>
  </x:si>
  <x:si>
    <x:t xml:space="preserve">白玉尸兵</x:t>
  </x:si>
  <x:si>
    <x:t xml:space="preserve">玉刃115%力；尸毒每秒6点/80tick</x:t>
  </x:si>
  <x:si>
    <x:t xml:space="preserve">尸煞骨2</x:t>
  </x:si>
  <x:si>
    <x:t xml:space="preserve">19_1.0敌人与Boss战斗数值_草案.md 第73行</x:t>
  </x:si>
  <x:si>
    <x:t xml:space="preserve">m2_vine</x:t>
  </x:si>
  <x:si>
    <x:t xml:space="preserve">缠魂藤</x:t>
  </x:si>
  <x:si>
    <x:t xml:space="preserve">藤刺95%法；缠绕24tick/CD100，优先最高遁速</x:t>
  </x:si>
  <x:si>
    <x:t xml:space="preserve">缠魂藤1–2</x:t>
  </x:si>
  <x:si>
    <x:t xml:space="preserve">m2_wood_sprite</x:t>
  </x:si>
  <x:si>
    <x:t xml:space="preserve">木魅幼体</x:t>
  </x:si>
  <x:si>
    <x:t xml:space="preserve">汲灵105%法+20%神并治疗自身伤害30%；生命低于40%先用</x:t>
  </x:si>
  <x:si>
    <x:t xml:space="preserve">木魅心1</x:t>
  </x:si>
  <x:si>
    <x:t xml:space="preserve">m2_array_serpent</x:t>
  </x:si>
  <x:si>
    <x:t xml:space="preserve">阵纹灵蛇</x:t>
  </x:si>
  <x:si>
    <x:t xml:space="preserve">灵咬90%法+25%神；迟缓15%/80tick；优先无迟缓目标</x:t>
  </x:si>
  <x:si>
    <x:t xml:space="preserve">阵纹鳞1</x:t>
  </x:si>
  <x:si>
    <x:t xml:space="preserve">m2_spell_shadow</x:t>
  </x:si>
  <x:si>
    <x:t xml:space="preserve">残禁法影</x:t>
  </x:si>
  <x:si>
    <x:t xml:space="preserve">禁光110%法；降抗12%/80tick；沉默20tick/CD140</x:t>
  </x:si>
  <x:si>
    <x:t xml:space="preserve">残符2</x:t>
  </x:si>
  <x:si>
    <x:t xml:space="preserve">复生尸卫</x:t>
  </x:si>
  <x:si>
    <x:t xml:space="preserve">第一次死亡后5秒复生至35%生命；战前或倒计时内破坏HP1000魂灯阻止</x:t>
  </x:si>
  <x:si>
    <x:t xml:space="preserve">尸卫甲片3</x:t>
  </x:si>
  <x:si>
    <x:t xml:space="preserve">19_1.0敌人与Boss战斗数值_草案.md 第83行</x:t>
  </x:si>
  <x:si>
    <x:t xml:space="preserve">稳定 ID 待内容表补齐</x:t>
  </x:si>
  <x:si>
    <x:t xml:space="preserve">噬法木魅</x:t>
  </x:si>
  <x:si>
    <x:t xml:space="preserve">每次法伤吸取施术者5%当前生命；物理暴击可打断80tick</x:t>
  </x:si>
  <x:si>
    <x:t xml:space="preserve">木魅妖心2</x:t>
  </x:si>
  <x:si>
    <x:t xml:space="preserve">四象阵灵</x:t>
  </x:si>
  <x:si>
    <x:t xml:space="preserve">每25%生命切换物免20%/法免20%；切换预警1秒</x:t>
  </x:si>
  <x:si>
    <x:t xml:space="preserve">四象阵砂2</x:t>
  </x:si>
  <x:si>
    <x:t xml:space="preserve">断刃器灵</x:t>
  </x:si>
  <x:si>
    <x:t xml:space="preserve">双斩2×65%力+20%神；优先最低生命</x:t>
  </x:si>
  <x:si>
    <x:t xml:space="preserve">器灵残片1</x:t>
  </x:si>
  <x:si>
    <x:t xml:space="preserve">19_1.0敌人与Boss战斗数值_草案.md 第111行</x:t>
  </x:si>
  <x:si>
    <x:t xml:space="preserve">铸灵铜傀</x:t>
  </x:si>
  <x:si>
    <x:t xml:space="preserve">铜拳125%力；每100tick获得600盾</x:t>
  </x:si>
  <x:si>
    <x:t xml:space="preserve">玄铁3</x:t>
  </x:si>
  <x:si>
    <x:t xml:space="preserve">夺宝散修</x:t>
  </x:si>
  <x:si>
    <x:t xml:space="preserve">随机使用剑诀105%力或火符105%法；生命&lt;30%尝试逃跑</x:t>
  </x:si>
  <x:si>
    <x:t xml:space="preserve">灵石30–45</x:t>
  </x:si>
  <x:si>
    <x:t xml:space="preserve">阴罗宗鬼卒</x:t>
  </x:si>
  <x:si>
    <x:t xml:space="preserve">鬼爪100%法+25%神；恐惧20%/20tick</x:t>
  </x:si>
  <x:si>
    <x:t xml:space="preserve">鬼道残页1</x:t>
  </x:si>
  <x:si>
    <x:t xml:space="preserve">吞金兽</x:t>
  </x:si>
  <x:si>
    <x:t xml:space="preserve">吞铁115%力；若玩家有护盾则伤害+20%并吸收同量护盾</x:t>
  </x:si>
  <x:si>
    <x:t xml:space="preserve">庚精1</x:t>
  </x:si>
  <x:si>
    <x:t xml:space="preserve">灵宝阁守卫</x:t>
  </x:si>
  <x:si>
    <x:t xml:space="preserve">物/法护罩每120tick切换；错误类型为其恢复3%生命</x:t>
  </x:si>
  <x:si>
    <x:t xml:space="preserve">古禁令1；首杀禅珠残片1</x:t>
  </x:si>
  <x:si>
    <x:t xml:space="preserve">19_1.0敌人与Boss战斗数值_草案.md 第121行</x:t>
  </x:si>
  <x:si>
    <x:t xml:space="preserve">阴罗宗长老分魂</x:t>
  </x:si>
  <x:si>
    <x:t xml:space="preserve">五鬼随机3段48%法+20%神；恐惧；无视嘲讽</x:t>
  </x:si>
  <x:si>
    <x:t xml:space="preserve">五鬼袋残片1</x:t>
  </x:si>
  <x:si>
    <x:t xml:space="preserve">失控剑灵</x:t>
  </x:si>
  <x:si>
    <x:t xml:space="preserve">每次暴击加速8%，最多5层；眩晕可清层</x:t>
  </x:si>
  <x:si>
    <x:t xml:space="preserve">首杀剑灵锋1</x:t>
  </x:si>
  <x:si>
    <x:t xml:space="preserve">熔炉石傀</x:t>
  </x:si>
  <x:si>
    <x:t xml:space="preserve">每20秒过热，全体70%力+40%法；破盾可延后</x:t>
  </x:si>
  <x:si>
    <x:t xml:space="preserve">铸灵核心碎片2</x:t>
  </x:si>
  <x:si>
    <x:t xml:space="preserve">银甲尸</x:t>
  </x:si>
  <x:si>
    <x:t xml:space="preserve">尸爪125%力；尸毒每秒12点；高护体</x:t>
  </x:si>
  <x:si>
    <x:t xml:space="preserve">银甲片1</x:t>
  </x:si>
  <x:si>
    <x:t xml:space="preserve">19_1.0敌人与Boss战斗数值_草案.md 第152行</x:t>
  </x:si>
  <x:si>
    <x:t xml:space="preserve">封链魔灵</x:t>
  </x:si>
  <x:si>
    <x:t xml:space="preserve">封灵90%法+沉默24tick；优先法力最高</x:t>
  </x:si>
  <x:si>
    <x:t xml:space="preserve">封链碎片1</x:t>
  </x:si>
  <x:si>
    <x:t xml:space="preserve">摄魂残影</x:t>
  </x:si>
  <x:si>
    <x:t xml:space="preserve">摄魂105%法+35%神无视嘲讽；恐惧30%</x:t>
  </x:si>
  <x:si>
    <x:t xml:space="preserve">残魂1</x:t>
  </x:si>
  <x:si>
    <x:t xml:space="preserve">魔化石兽</x:t>
  </x:si>
  <x:si>
    <x:t xml:space="preserve">冲撞130%力+眩晕；生命40%狂暴伤害+25%</x:t>
  </x:si>
  <x:si>
    <x:t xml:space="preserve">魔化石核1</x:t>
  </x:si>
  <x:si>
    <x:t xml:space="preserve">裂隙化形</x:t>
  </x:si>
  <x:si>
    <x:t xml:space="preserve">空间割裂115%法；空间错位使行动条+30tick</x:t>
  </x:si>
  <x:si>
    <x:t xml:space="preserve">裂隙尘1</x:t>
  </x:si>
  <x:si>
    <x:t xml:space="preserve">金身尸卫</x:t>
  </x:si>
  <x:si>
    <x:t xml:space="preserve">生命50%获2500盾；盾存在吸血25%；法伤破盾效率+25%</x:t>
  </x:si>
  <x:si>
    <x:t xml:space="preserve">庚精3；首杀金身尸卫残骨、金身尸卫核心、古修甲片各1</x:t>
  </x:si>
  <x:si>
    <x:t xml:space="preserve">19_1.0敌人与Boss战斗数值_草案.md 第162行</x:t>
  </x:si>
  <x:si>
    <x:t xml:space="preserve">黑风旗影</x:t>
  </x:si>
  <x:si>
    <x:t xml:space="preserve">每80tick空间错位1人；定界珠免疫；无视嘲讽群攻</x:t>
  </x:si>
  <x:si>
    <x:t xml:space="preserve">黑风丝1</x:t>
  </x:si>
  <x:si>
    <x:t xml:space="preserve">魔气寄生体</x:t>
  </x:si>
  <x:si>
    <x:t xml:space="preserve">寄生最低生命；5秒不击破1200HP寄生核则治疗自身2500</x:t>
  </x:si>
  <x:si>
    <x:t xml:space="preserve">魔髓碎屑2</x:t>
  </x:si>
  <x:si>
    <x:t xml:space="preserve">镇塔狱卒</x:t>
  </x:si>
  <x:si>
    <x:t xml:space="preserve">处刑标记最低生命；4秒后180%力，护盾可吸收</x:t>
  </x:si>
  <x:si>
    <x:t xml:space="preserve">镇塔令片1</x:t>
  </x:si>
  <x:si>
    <x:t xml:space="preserve">银翅残羽</x:t>
  </x:si>
  <x:si>
    <x:t xml:space="preserve">飞行；三段羽刃3×42%神+20%速；青冥飞剑/法术克制</x:t>
  </x:si>
  <x:si>
    <x:t xml:space="preserve">残翎1；首杀残翎核心1并开放残翅骨环净化节点</x:t>
  </x:si>
  <x:si>
    <x:t xml:space="preserve">主线 Boss 面板与技能</x:t>
  </x:si>
  <x:si>
    <x:t xml:space="preserve">Boss 耐久需同时考虑主体、护盾、复生、部件、召唤与固定治疗；下表分项记录</x:t>
  </x:si>
  <x:si>
    <x:t xml:space="preserve">Boss</x:t>
  </x:si>
  <x:si>
    <x:t xml:space="preserve">主体 HP</x:t>
  </x:si>
  <x:si>
    <x:t xml:space="preserve">附加部件/召唤 HP</x:t>
  </x:si>
  <x:si>
    <x:t xml:space="preserve">首杀魂晶</x:t>
  </x:si>
  <x:si>
    <x:t xml:space="preserve">主要固定奖励</x:t>
  </x:si>
  <x:si>
    <x:t xml:space="preserve">逃生</x:t>
  </x:si>
  <x:si>
    <x:t xml:space="preserve">守门石灵</x:t>
  </x:si>
  <x:si>
    <x:t xml:space="preserve">石灵核心；两件地图1制式装备</x:t>
  </x:si>
  <x:si>
    <x:t xml:space="preserve">70%后开放</x:t>
  </x:si>
  <x:si>
    <x:t xml:space="preserve">封坛尸将</x:t>
  </x:si>
  <x:si>
    <x:t xml:space="preserve">封坛令；筑基灵石1200；两件上品；唯一魂魄</x:t>
  </x:si>
  <x:si>
    <x:t xml:space="preserve">60%后开放</x:t>
  </x:si>
  <x:si>
    <x:t xml:space="preserve">四臂铸灵傀</x:t>
  </x:si>
  <x:si>
    <x:t xml:space="preserve">铸灵核心；凝丹灵草4；灵晶60；灵石4800</x:t>
  </x:si>
  <x:si>
    <x:t xml:space="preserve">银翅夜叉·尸煞化身</x:t>
  </x:si>
  <x:si>
    <x:t xml:space="preserve">镇魔残翅；古宝残片；两件地图4制式装备；唯一魂魄</x:t>
  </x:si>
  <x:si>
    <x:t xml:space="preserve">阶段三锁定</x:t>
  </x:si>
  <x:si>
    <x:t xml:space="preserve">Boss 技能与阶段</x:t>
  </x:si>
  <x:si>
    <x:t xml:space="preserve">事实源：19_1.0敌人与Boss战斗数值_草案.md</x:t>
  </x:si>
  <x:si>
    <x:t xml:space="preserve">技能/部件</x:t>
  </x:si>
  <x:si>
    <x:t xml:space="preserve">I/CD</x:t>
  </x:si>
  <x:si>
    <x:t xml:space="preserve">基础数值</x:t>
  </x:si>
  <x:si>
    <x:t xml:space="preserve">规则</x:t>
  </x:si>
  <x:si>
    <x:t xml:space="preserve">全阶段</x:t>
  </x:si>
  <x:si>
    <x:t xml:space="preserve">岩拳</x:t>
  </x:si>
  <x:si>
    <x:t xml:space="preserve">28/0</x:t>
  </x:si>
  <x:si>
    <x:t xml:space="preserve">120%力+20%肉物理单体</x:t>
  </x:si>
  <x:si>
    <x:t xml:space="preserve">受嘲讽；优先最高当前生命</x:t>
  </x:si>
  <x:si>
    <x:t xml:space="preserve">19_1.0敌人与Boss战斗数值_草案.md 第53行</x:t>
  </x:si>
  <x:si>
    <x:t xml:space="preserve">裂地震</x:t>
  </x:si>
  <x:si>
    <x:t xml:space="preserve">38/120</x:t>
  </x:si>
  <x:si>
    <x:t xml:space="preserve">58%力+15%肉物理全体</x:t>
  </x:si>
  <x:si>
    <x:t xml:space="preserve">无视嘲讽；预警0.8秒；附流血每秒4点/60tick</x:t>
  </x:si>
  <x:si>
    <x:t xml:space="preserve">石灵金身</x:t>
  </x:si>
  <x:si>
    <x:t xml:space="preserve">34/160</x:t>
  </x:si>
  <x:si>
    <x:t xml:space="preserve">护盾900</x:t>
  </x:si>
  <x:si>
    <x:t xml:space="preserve">生命75%和35%各强制一次；盾存在时护体+20</x:t>
  </x:si>
  <x:si>
    <x:t xml:space="preserve">反震石纹</x:t>
  </x:si>
  <x:si>
    <x:t xml:space="preserve">被动</x:t>
  </x:si>
  <x:si>
    <x:t xml:space="preserve">40%力物理</x:t>
  </x:si>
  <x:si>
    <x:t xml:space="preserve">每累计3次物理直击触发；法术直击清除1层计数；反击不递归</x:t>
  </x:si>
  <x:si>
    <x:t xml:space="preserve">尸将斩</x:t>
  </x:si>
  <x:si>
    <x:t xml:space="preserve">27/0</x:t>
  </x:si>
  <x:si>
    <x:t xml:space="preserve">130%力+25%神物理</x:t>
  </x:si>
  <x:si>
    <x:t xml:space="preserve">受嘲讽；目标有尸毒时增伤15%</x:t>
  </x:si>
  <x:si>
    <x:t xml:space="preserve">19_1.0敌人与Boss战斗数值_草案.md 第94行</x:t>
  </x:si>
  <x:si>
    <x:t xml:space="preserve">尸毒军阵</x:t>
  </x:si>
  <x:si>
    <x:t xml:space="preserve">36/140</x:t>
  </x:si>
  <x:si>
    <x:t xml:space="preserve">55%法+20%神法术全体</x:t>
  </x:si>
  <x:si>
    <x:t xml:space="preserve">预警1秒；尸毒每秒8%法、80tick，治疗-10%，最多3层</x:t>
  </x:si>
  <x:si>
    <x:t xml:space="preserve">招魂号令</x:t>
  </x:si>
  <x:si>
    <x:t xml:space="preserve">34/200</x:t>
  </x:si>
  <x:si>
    <x:t xml:space="preserve">无直接伤害</x:t>
  </x:si>
  <x:si>
    <x:t xml:space="preserve">魂旗存活时召回2名HP750尸兵；场上最多2名</x:t>
  </x:si>
  <x:si>
    <x:t xml:space="preserve">军魂不灭</x:t>
  </x:si>
  <x:si>
    <x:t xml:space="preserve">—</x:t>
  </x:si>
  <x:si>
    <x:t xml:space="preserve">主体首次降至1生命时，若魂旗存活则消耗魂旗恢复3000HP；魂旗提前击破则失效</x:t>
  </x:si>
  <x:si>
    <x:t xml:space="preserve">战臂·碎岳</x:t>
  </x:si>
  <x:si>
    <x:t xml:space="preserve">26/0</x:t>
  </x:si>
  <x:si>
    <x:t xml:space="preserve">125%力物理单体</x:t>
  </x:si>
  <x:si>
    <x:t xml:space="preserve">受嘲讽；战臂毁坏后禁用</x:t>
  </x:si>
  <x:si>
    <x:t xml:space="preserve">19_1.0敌人与Boss战斗数值_草案.md 第133行</x:t>
  </x:si>
  <x:si>
    <x:t xml:space="preserve">法臂·熔光</x:t>
  </x:si>
  <x:si>
    <x:t xml:space="preserve">34/100</x:t>
  </x:si>
  <x:si>
    <x:t xml:space="preserve">72%法+25%神法术全体</x:t>
  </x:si>
  <x:si>
    <x:t xml:space="preserve">预警0.8秒；法臂毁坏后禁用</x:t>
  </x:si>
  <x:si>
    <x:t xml:space="preserve">守臂·两仪罩</x:t>
  </x:si>
  <x:si>
    <x:t xml:space="preserve">36/160</x:t>
  </x:si>
  <x:si>
    <x:t xml:space="preserve">护盾3000</x:t>
  </x:si>
  <x:si>
    <x:t xml:space="preserve">在物理罩/法术罩间切换，对应类型减伤35%；守臂毁坏后禁用</x:t>
  </x:si>
  <x:si>
    <x:t xml:space="preserve">铸臂·回炉</x:t>
  </x:si>
  <x:si>
    <x:t xml:space="preserve">40/180</x:t>
  </x:si>
  <x:si>
    <x:t xml:space="preserve">核心治疗1800或复活一条已毁手臂至1000HP</x:t>
  </x:si>
  <x:si>
    <x:t xml:space="preserve">预警1.2秒，可用眩晕打断；铸臂毁坏后禁用</x:t>
  </x:si>
  <x:si>
    <x:t xml:space="preserve">熔炉过载</x:t>
  </x:si>
  <x:si>
    <x:t xml:space="preserve">每秒18%力+18%法全体，持续5秒</x:t>
  </x:si>
  <x:si>
    <x:t xml:space="preserve">核心30%触发；5秒内击破任一存活手臂或控制核心可中断</x:t>
  </x:si>
  <x:si>
    <x:t xml:space="preserve">阶段一：尸煞（100%–71%）</x:t>
  </x:si>
  <x:si>
    <x:t xml:space="preserve">夜叉爪</x:t>
  </x:si>
  <x:si>
    <x:t xml:space="preserve">22/0</x:t>
  </x:si>
  <x:si>
    <x:t xml:space="preserve">2段，每段72%力+18%神物理</x:t>
  </x:si>
  <x:si>
    <x:t xml:space="preserve">受嘲讽；每段附1层尸毒，基础命中65%</x:t>
  </x:si>
  <x:si>
    <x:t xml:space="preserve">19_1.0敌人与Boss战斗数值_草案.md 第178行</x:t>
  </x:si>
  <x:si>
    <x:t xml:space="preserve">尸煞吐息</x:t>
  </x:si>
  <x:si>
    <x:t xml:space="preserve">34/140</x:t>
  </x:si>
  <x:si>
    <x:t xml:space="preserve">62%法+25%神法术全体</x:t>
  </x:si>
  <x:si>
    <x:t xml:space="preserve">预警1秒；尸毒每秒10%法/100tick，治疗-10%/层</x:t>
  </x:si>
  <x:si>
    <x:t xml:space="preserve">啖血</x:t>
  </x:si>
  <x:si>
    <x:t xml:space="preserve">30/120</x:t>
  </x:si>
  <x:si>
    <x:t xml:space="preserve">115%力物理最低生命</x:t>
  </x:si>
  <x:si>
    <x:t xml:space="preserve">伤害35%治疗自身；目标有尸毒每层增伤8%；无视嘲讽</x:t>
  </x:si>
  <x:si>
    <x:t xml:space="preserve">阶段二：银翅（70%–31%）</x:t>
  </x:si>
  <x:si>
    <x:t xml:space="preserve">银羽裂空</x:t>
  </x:si>
  <x:si>
    <x:t xml:space="preserve">24/0</x:t>
  </x:si>
  <x:si>
    <x:t xml:space="preserve">随机3段，每段48%神+25%速物理</x:t>
  </x:si>
  <x:si>
    <x:t xml:space="preserve">可重复目标；无视嘲讽</x:t>
  </x:si>
  <x:si>
    <x:t xml:space="preserve">19_1.0敌人与Boss战斗数值_草案.md 第190行</x:t>
  </x:si>
  <x:si>
    <x:t xml:space="preserve">翼风压阵</x:t>
  </x:si>
  <x:si>
    <x:t xml:space="preserve">58%法+25%神全体</x:t>
  </x:si>
  <x:si>
    <x:t xml:space="preserve">迟缓25%/100tick；预警1秒</x:t>
  </x:si>
  <x:si>
    <x:t xml:space="preserve">掠影俯冲</x:t>
  </x:si>
  <x:si>
    <x:t xml:space="preserve">145%力+35%速物理单体</x:t>
  </x:si>
  <x:si>
    <x:t xml:space="preserve">选择神识最高者；受到剑煞归流或雷链追身后的下次俯冲命中使Boss落地40tick，受到伤害+15%</x:t>
  </x:si>
  <x:si>
    <x:t xml:space="preserve">阶段三：残蜕（30%–0%）</x:t>
  </x:si>
  <x:si>
    <x:t xml:space="preserve">群体恐惧</x:t>
  </x:si>
  <x:si>
    <x:t xml:space="preserve">预警1.5秒；全体恐惧，基础命中75%，持续40tick</x:t>
  </x:si>
  <x:si>
    <x:t xml:space="preserve">19_1.0敌人与Boss战斗数值_草案.md 第203行</x:t>
  </x:si>
  <x:si>
    <x:t xml:space="preserve">残翅斩</x:t>
  </x:si>
  <x:si>
    <x:t xml:space="preserve">28/80</x:t>
  </x:si>
  <x:si>
    <x:t xml:space="preserve">165%力+45%神物理单体</x:t>
  </x:si>
  <x:si>
    <x:t xml:space="preserve">预警1秒；残羽每存活1枚额外+15%；受嘲讽</x:t>
  </x:si>
  <x:si>
    <x:t xml:space="preserve">尸爆</x:t>
  </x:si>
  <x:si>
    <x:t xml:space="preserve">死亡触发</x:t>
  </x:si>
  <x:si>
    <x:t xml:space="preserve">每枚45%法全体</x:t>
  </x:si>
  <x:si>
    <x:t xml:space="preserve">残羽死亡后1秒爆炸；可用护盾承受，不能打断</x:t>
  </x:si>
  <x:si>
    <x:t xml:space="preserve">魔魂回响</x:t>
  </x:si>
  <x:si>
    <x:t xml:space="preserve">120tick后</x:t>
  </x:si>
  <x:si>
    <x:t xml:space="preserve">全体每秒固定35伤害</x:t>
  </x:si>
  <x:si>
    <x:t xml:space="preserve">狂暴软时限；不受减伤，护盾可吸收</x:t>
  </x:si>
  <x:si>
    <x:t xml:space="preserve">炼器坊升级、配方与永久强化</x:t>
  </x:si>
  <x:si>
    <x:t xml:space="preserve">1.0 完成结丹只要求炼器坊 3 级；高阶突破物在 1.0 仅冻结名称与坊级</x:t>
  </x:si>
  <x:si>
    <x:t xml:space="preserve">坊级</x:t>
  </x:si>
  <x:si>
    <x:t xml:space="preserve">升至本级灵木</x:t>
  </x:si>
  <x:si>
    <x:t xml:space="preserve">累计灵木</x:t>
  </x:si>
  <x:si>
    <x:t xml:space="preserve">解锁内容</x:t>
  </x:si>
  <x:si>
    <x:t xml:space="preserve">【基础】凡品铁胚、随机器纹、开山镐；【武器】乌钢降魔杵、聚火灵珠、青囊符匣、铁木剑胚；【防具】行衣；【饰品】明心镜（命中）</x:t>
  </x:si>
  <x:si>
    <x:t xml:space="preserve">【符箓】归营符</x:t>
  </x:si>
  <x:si>
    <x:t xml:space="preserve">【突破】降尘丹（结丹）</x:t>
  </x:si>
  <x:si>
    <x:t xml:space="preserve">【探索】探灵灯一阶，永久扩大一次探查范围</x:t>
  </x:si>
  <x:si>
    <x:t xml:space="preserve">【探索】行营阵盘一阶，每次入山休整次数永久增加1次</x:t>
  </x:si>
  <x:si>
    <x:t xml:space="preserve">【防具】法衣</x:t>
  </x:si>
  <x:si>
    <x:t xml:space="preserve">【基础】精制铁胚</x:t>
  </x:si>
  <x:si>
    <x:t xml:space="preserve">【突破】凝婴玉髓（元婴）</x:t>
  </x:si>
  <x:si>
    <x:t xml:space="preserve">【饰品】流云扣（闪避）</x:t>
  </x:si>
  <x:si>
    <x:t xml:space="preserve">【防具】玄甲</x:t>
  </x:si>
  <x:si>
    <x:t xml:space="preserve">【探索】探灵灯二阶，再次永久扩大探查范围</x:t>
  </x:si>
  <x:si>
    <x:t xml:space="preserve">【基础】上品铁胚</x:t>
  </x:si>
  <x:si>
    <x:t xml:space="preserve">【突破】蕴神天香（化神）</x:t>
  </x:si>
  <x:si>
    <x:t xml:space="preserve">【探索】行营阵盘二阶，每次入山休整次数永久增加1次</x:t>
  </x:si>
  <x:si>
    <x:t xml:space="preserve">【饰品】回春佩（治疗）</x:t>
  </x:si>
  <x:si>
    <x:t xml:space="preserve">【基础】珍品铁胚</x:t>
  </x:si>
  <x:si>
    <x:t xml:space="preserve">【武器】洞玄四职业武器组，每张蓝图拥有2个器纹槽</x:t>
  </x:si>
  <x:si>
    <x:t xml:space="preserve">【突破】破虚玄晶（炼虚）</x:t>
  </x:si>
  <x:si>
    <x:t xml:space="preserve">【饰品】破军环（暴击）</x:t>
  </x:si>
  <x:si>
    <x:t xml:space="preserve">【探索】探灵灯三阶、行营阵盘三阶，各自完成最后一次永久强化</x:t>
  </x:si>
  <x:si>
    <x:t xml:space="preserve">【突破】两仪合真璧（合体）</x:t>
  </x:si>
  <x:si>
    <x:t xml:space="preserve">【饰品】定神珠（状态抵抗），拥有2个器纹槽</x:t>
  </x:si>
  <x:si>
    <x:t xml:space="preserve">【基础】法宝铁胚</x:t>
  </x:si>
  <x:si>
    <x:t xml:space="preserve">【突破】渡厄金符（大乘）</x:t>
  </x:si>
  <x:si>
    <x:t xml:space="preserve">冻结配方</x:t>
  </x:si>
  <x:si>
    <x:t xml:space="preserve">材料扣除与产出必须原子保存；全部固定成功</x:t>
  </x:si>
  <x:si>
    <x:t xml:space="preserve">配方</x:t>
  </x:si>
  <x:si>
    <x:t xml:space="preserve">解锁坊级</x:t>
  </x:si>
  <x:si>
    <x:t xml:space="preserve">材料A</x:t>
  </x:si>
  <x:si>
    <x:t xml:space="preserve">数量A</x:t>
  </x:si>
  <x:si>
    <x:t xml:space="preserve">材料B</x:t>
  </x:si>
  <x:si>
    <x:t xml:space="preserve">数量B</x:t>
  </x:si>
  <x:si>
    <x:t xml:space="preserve">灵石费</x:t>
  </x:si>
  <x:si>
    <x:t xml:space="preserve">随机器纹</x:t>
  </x:si>
  <x:si>
    <x:t xml:space="preserve">灵晶</x:t>
  </x:si>
  <x:si>
    <x:t xml:space="preserve">随机器纹1</x:t>
  </x:si>
  <x:si>
    <x:t xml:space="preserve">归营符</x:t>
  </x:si>
  <x:si>
    <x:t xml:space="preserve">引灵砂</x:t>
  </x:si>
  <x:si>
    <x:t xml:space="preserve">归营符1</x:t>
  </x:si>
  <x:si>
    <x:t xml:space="preserve">凝丹灵草</x:t>
  </x:si>
  <x:si>
    <x:t xml:space="preserve">降尘丹1</x:t>
  </x:si>
  <x:si>
    <x:t xml:space="preserve">开山镐</x:t>
  </x:si>
  <x:si>
    <x:t xml:space="preserve">开山镐1</x:t>
  </x:si>
  <x:si>
    <x:t xml:space="preserve">9.1 行营阵盘</x:t>
  </x:si>
  <x:si>
    <x:t xml:space="preserve">事实源：33_炼器坊升级与炼制机制_草案.md 第209行</x:t>
  </x:si>
  <x:si>
    <x:t xml:space="preserve">完成后每次入山休整上限</x:t>
  </x:si>
  <x:si>
    <x:t xml:space="preserve">初始</x:t>
  </x:si>
  <x:si>
    <x:t xml:space="preserve">行营阵盘一阶</x:t>
  </x:si>
  <x:si>
    <x:t xml:space="preserve">行营阵盘二阶</x:t>
  </x:si>
  <x:si>
    <x:t xml:space="preserve">行营阵盘三阶</x:t>
  </x:si>
  <x:si>
    <x:t xml:space="preserve">9.2 探灵灯</x:t>
  </x:si>
  <x:si>
    <x:t xml:space="preserve">事实源：33_炼器坊升级与炼制机制_草案.md 第223行</x:t>
  </x:si>
  <x:si>
    <x:t xml:space="preserve">照影石</x:t>
  </x:si>
  <x:si>
    <x:t xml:space="preserve">完成后探查半径</x:t>
  </x:si>
  <x:si>
    <x:t xml:space="preserve">4格</x:t>
  </x:si>
  <x:si>
    <x:t xml:space="preserve">探灵灯一阶</x:t>
  </x:si>
  <x:si>
    <x:t xml:space="preserve">6格</x:t>
  </x:si>
  <x:si>
    <x:t xml:space="preserve">探灵灯二阶</x:t>
  </x:si>
  <x:si>
    <x:t xml:space="preserve">8格</x:t>
  </x:si>
  <x:si>
    <x:t xml:space="preserve">探灵灯三阶</x:t>
  </x:si>
  <x:si>
    <x:t xml:space="preserve">10格</x:t>
  </x:si>
  <x:si>
    <x:t xml:space="preserve">材料、资源包与地图资源点</x:t>
  </x:si>
  <x:si>
    <x:t xml:space="preserve">资源包品质只表示包内数量；灵粮不使用四档包装；凝露草不用于扎营疗伤</x:t>
  </x:si>
  <x:si>
    <x:t xml:space="preserve">20 个资源包稳定定义</x:t>
  </x:si>
  <x:si>
    <x:t xml:space="preserve">固定开包产量与每 ID 持有上限；资源本和地图掉落均复用这些 ID</x:t>
  </x:si>
  <x:si>
    <x:t xml:space="preserve">资源</x:t>
  </x:si>
  <x:si>
    <x:t xml:space="preserve">档位</x:t>
  </x:si>
  <x:si>
    <x:t xml:space="preserve">开包产量</x:t>
  </x:si>
  <x:si>
    <x:t xml:space="preserve">每 ID 上限</x:t>
  </x:si>
  <x:si>
    <x:t xml:space="preserve">是否受灵圃容量</x:t>
  </x:si>
  <x:si>
    <x:t xml:space="preserve">下品</x:t>
  </x:si>
  <x:si>
    <x:t xml:space="preserve">item_resource_pack_wood_low</x:t>
  </x:si>
  <x:si>
    <x:t xml:space="preserve">是</x:t>
  </x:si>
  <x:si>
    <x:t xml:space="preserve">34_1.0基础材料与资源循环_草案.md §9.1</x:t>
  </x:si>
  <x:si>
    <x:t xml:space="preserve">item_resource_pack_wood_high</x:t>
  </x:si>
  <x:si>
    <x:t xml:space="preserve">特级</x:t>
  </x:si>
  <x:si>
    <x:t xml:space="preserve">item_resource_pack_wood_special</x:t>
  </x:si>
  <x:si>
    <x:t xml:space="preserve">仙品</x:t>
  </x:si>
  <x:si>
    <x:t xml:space="preserve">item_resource_pack_wood_immortal</x:t>
  </x:si>
  <x:si>
    <x:t xml:space="preserve">item_resource_pack_iron_low</x:t>
  </x:si>
  <x:si>
    <x:t xml:space="preserve">item_resource_pack_iron_high</x:t>
  </x:si>
  <x:si>
    <x:t xml:space="preserve">item_resource_pack_iron_special</x:t>
  </x:si>
  <x:si>
    <x:t xml:space="preserve">item_resource_pack_iron_immortal</x:t>
  </x:si>
  <x:si>
    <x:t xml:space="preserve">item_resource_pack_stone_low</x:t>
  </x:si>
  <x:si>
    <x:t xml:space="preserve">否（钱包）</x:t>
  </x:si>
  <x:si>
    <x:t xml:space="preserve">item_resource_pack_stone_high</x:t>
  </x:si>
  <x:si>
    <x:t xml:space="preserve">item_resource_pack_stone_special</x:t>
  </x:si>
  <x:si>
    <x:t xml:space="preserve">item_resource_pack_stone_immortal</x:t>
  </x:si>
  <x:si>
    <x:t xml:space="preserve">item_resource_pack_crystal_low</x:t>
  </x:si>
  <x:si>
    <x:t xml:space="preserve">item_resource_pack_crystal_high</x:t>
  </x:si>
  <x:si>
    <x:t xml:space="preserve">item_resource_pack_crystal_special</x:t>
  </x:si>
  <x:si>
    <x:t xml:space="preserve">item_resource_pack_crystal_immortal</x:t>
  </x:si>
  <x:si>
    <x:t xml:space="preserve">item_resource_pack_geng_low</x:t>
  </x:si>
  <x:si>
    <x:t xml:space="preserve">item_resource_pack_geng_high</x:t>
  </x:si>
  <x:si>
    <x:t xml:space="preserve">item_resource_pack_geng_special</x:t>
  </x:si>
  <x:si>
    <x:t xml:space="preserve">item_resource_pack_geng_immortal</x:t>
  </x:si>
  <x:si>
    <x:t xml:space="preserve">3. 资源分层与库存规则</x:t>
  </x:si>
  <x:si>
    <x:t xml:space="preserve">事实源：34_1.0基础材料与资源循环_草案.md 第46行</x:t>
  </x:si>
  <x:si>
    <x:t xml:space="preserve">1.0内容</x:t>
  </x:si>
  <x:si>
    <x:t xml:space="preserve">存放与上限</x:t>
  </x:si>
  <x:si>
    <x:t xml:space="preserve">交易行关系</x:t>
  </x:si>
  <x:si>
    <x:t xml:space="preserve">货币/成长资源</x:t>
  </x:si>
  <x:si>
    <x:t xml:space="preserve">灵石、魂晶</x:t>
  </x:si>
  <x:si>
    <x:t xml:space="preserve">公共钱包；不读取灵圃储量等级</x:t>
  </x:si>
  <x:si>
    <x:t xml:space="preserve">灵石用于购买与付费刷新；二者均不能出售</x:t>
  </x:si>
  <x:si>
    <x:t xml:space="preserve">五种生产资源</x:t>
  </x:si>
  <x:si>
    <x:t xml:space="preserve">灵粮、灵木、玄铁、灵晶、庚精</x:t>
  </x:si>
  <x:si>
    <x:t xml:space="preserve">公共资源栏；每种拥有独立灵圃储量等级和版本上限</x:t>
  </x:si>
  <x:si>
    <x:t xml:space="preserve">五类资源包可进入随机栏；玩家不能出售资源</x:t>
  </x:si>
  <x:si>
    <x:t xml:space="preserve">野外通用材料</x:t>
  </x:si>
  <x:si>
    <x:t xml:space="preserve">引灵砂、照影石、凝露草、凝丹灵草、器灵残片</x:t>
  </x:si>
  <x:si>
    <x:t xml:space="preserve">百宝库堆叠库存</x:t>
  </x:si>
  <x:si>
    <x:t xml:space="preserve">照影石、凝丹灵草可按交易行限量随机栏购买；玩家不能出售材料</x:t>
  </x:si>
  <x:si>
    <x:t xml:space="preserve">区域稀有材料</x:t>
  </x:si>
  <x:si>
    <x:t xml:space="preserve">四象阵砂、魔髓碎屑、古宝残片</x:t>
  </x:si>
  <x:si>
    <x:t xml:space="preserve">不进入普通交易行商品池，也不能出售</x:t>
  </x:si>
  <x:si>
    <x:t xml:space="preserve">加工品</x:t>
  </x:si>
  <x:si>
    <x:t xml:space="preserve">铁胚、器纹、归营符、开山镐、六种大境界突破物</x:t>
  </x:si>
  <x:si>
    <x:t xml:space="preserve">百宝库分类库存</x:t>
  </x:si>
  <x:si>
    <x:t xml:space="preserve">防卡死用品可限量购买；玩家不能出售加工品</x:t>
  </x:si>
  <x:si>
    <x:t xml:space="preserve">资源包/野外食物</x:t>
  </x:si>
  <x:si>
    <x:t xml:space="preserve">五类四档资源包；辟谷饼、干粮、兽肉等主题食物</x:t>
  </x:si>
  <x:si>
    <x:t xml:space="preserve">野外临时战利品，安全归营后进入百宝库</x:t>
  </x:si>
  <x:si>
    <x:t xml:space="preserve">不能直接替代任务物或突破物</x:t>
  </x:si>
  <x:si>
    <x:t xml:space="preserve">任务物/唯一核心</x:t>
  </x:si>
  <x:si>
    <x:t xml:space="preserve">石灵核心、铸灵核心、封坛令、残翎核心、证据、古宝前置等</x:t>
  </x:si>
  <x:si>
    <x:t xml:space="preserve">任务保护区或受保护物品栏</x:t>
  </x:si>
  <x:si>
    <x:t xml:space="preserve">不可出售、分解或因阵亡丢失</x:t>
  </x:si>
  <x:si>
    <x:t xml:space="preserve">4. 货币与成长资源</x:t>
  </x:si>
  <x:si>
    <x:t xml:space="preserve">事实源：34_1.0基础材料与资源循环_草案.md 第61行</x:t>
  </x:si>
  <x:si>
    <x:t xml:space="preserve">主要来源</x:t>
  </x:si>
  <x:si>
    <x:t xml:space="preserve">1.0主要消耗</x:t>
  </x:si>
  <x:si>
    <x:t xml:space="preserve">明确不承担的职责</x:t>
  </x:si>
  <x:si>
    <x:t xml:space="preserve">主支线、探索、资源包、map_03回火矿窟</x:t>
  </x:si>
  <x:si>
    <x:t xml:space="preserve">筑基与结丹费用、交易行、炼器与打造费用、高成本专精重置</x:t>
  </x:si>
  <x:si>
    <x:t xml:space="preserve">不用于角色升级，不替代魂晶或降尘丹</x:t>
  </x:si>
  <x:si>
    <x:t xml:space="preserve">战斗、任务、map_04镇魂残响</x:t>
  </x:si>
  <x:si>
    <x:t xml:space="preserve">修士升级、还魂</x:t>
  </x:si>
  <x:si>
    <x:t xml:space="preserve">不用于打造、交易、建筑或境界突破材料替代</x:t>
  </x:si>
  <x:si>
    <x:t xml:space="preserve">6. 野外通用材料</x:t>
  </x:si>
  <x:si>
    <x:t xml:space="preserve">事实源：34_1.0基础材料与资源循环_草案.md 第109行</x:t>
  </x:si>
  <x:si>
    <x:t xml:space="preserve">材料</x:t>
  </x:si>
  <x:si>
    <x:t xml:space="preserve">首次主要出现</x:t>
  </x:si>
  <x:si>
    <x:t xml:space="preserve">主要用途</x:t>
  </x:si>
  <x:si>
    <x:t xml:space="preserve">保护与交易</x:t>
  </x:si>
  <x:si>
    <x:t xml:space="preserve">残阵、符纸类敌人和探索</x:t>
  </x:si>
  <x:si>
    <x:t xml:space="preserve">与灵晶炼制归营符</x:t>
  </x:si>
  <x:si>
    <x:t xml:space="preserve">不可出售；归营符成品在交易行常备栏限量补购</x:t>
  </x:si>
  <x:si>
    <x:t xml:space="preserve">隐蔽矿点、高神识探索与交易行</x:t>
  </x:si>
  <x:si>
    <x:t xml:space="preserve">与庚精完成三阶探灵灯</x:t>
  </x:si>
  <x:si>
    <x:t xml:space="preserve">可在随机栏限量购买；不可出售</x:t>
  </x:si>
  <x:si>
    <x:t xml:space="preserve">凝露草</x:t>
  </x:si>
  <x:si>
    <x:t xml:space="preserve">白玉缝、木魅庭院外围、任务</x:t>
  </x:si>
  <x:si>
    <x:t xml:space="preserve">明确剧情节点中的NPC救治和净化</x:t>
  </x:si>
  <x:si>
    <x:t xml:space="preserve">不可出售；需要提交时必须提前提示并预留所需数量</x:t>
  </x:si>
  <x:si>
    <x:t xml:space="preserve">遗址边缘、封存药材、任务保底、交易行限量随机栏及后续地图灵草点</x:t>
  </x:si>
  <x:si>
    <x:t xml:space="preserve">从结丹开始合成所有大境界突破物</x:t>
  </x:si>
  <x:si>
    <x:t xml:space="preserve">不可出售、分解或用于突破以外的配方</x:t>
  </x:si>
  <x:si>
    <x:t xml:space="preserve">器灵敌人、铸灵堂、机关区、分解装备</x:t>
  </x:si>
  <x:si>
    <x:t xml:space="preserve">与灵晶炼制随机器纹；少数特装与炉腔修复</x:t>
  </x:si>
  <x:si>
    <x:t xml:space="preserve">不可出售；不进入普通随机栏</x:t>
  </x:si>
  <x:si>
    <x:t xml:space="preserve">8.4 探索工具与突破物</x:t>
  </x:si>
  <x:si>
    <x:t xml:space="preserve">事实源：34_1.0基础材料与资源循环_草案.md 第194行</x:t>
  </x:si>
  <x:si>
    <x:t xml:space="preserve">材料关系</x:t>
  </x:si>
  <x:si>
    <x:t xml:space="preserve">规则边界</x:t>
  </x:si>
  <x:si>
    <x:t xml:space="preserve">灵晶 + 引灵砂</x:t>
  </x:si>
  <x:si>
    <x:t xml:space="preserve">任意坐标安全归营；普通交易行存在稳定补购</x:t>
  </x:si>
  <x:si>
    <x:t xml:space="preserve">启程成功时消耗并在本次出征全程生效，归营或阵亡后失效</x:t>
  </x:si>
  <x:si>
    <x:t xml:space="preserve">行营阵盘一至三阶</x:t>
  </x:si>
  <x:si>
    <x:t xml:space="preserve">账号永久强化，逐阶一次性生效</x:t>
  </x:si>
  <x:si>
    <x:t xml:space="preserve">探灵灯一至三阶</x:t>
  </x:si>
  <x:si>
    <x:t xml:space="preserve">照影石 + 庚精</x:t>
  </x:si>
  <x:si>
    <x:t xml:space="preserve">凝丹灵草 + 灵晶</x:t>
  </x:si>
  <x:si>
    <x:t xml:space="preserve">结丹必需，固定成功；炼器坊3级解锁</x:t>
  </x:si>
  <x:si>
    <x:t xml:space="preserve">凝婴玉髓</x:t>
  </x:si>
  <x:si>
    <x:t xml:space="preserve">凝丹灵草 + 元婴地区辅材</x:t>
  </x:si>
  <x:si>
    <x:t xml:space="preserve">元婴突破物；炼器坊8级解锁，辅材与数量待对应版本确定</x:t>
  </x:si>
  <x:si>
    <x:t xml:space="preserve">蕴神天香</x:t>
  </x:si>
  <x:si>
    <x:t xml:space="preserve">凝丹灵草 + 化神地区辅材</x:t>
  </x:si>
  <x:si>
    <x:t xml:space="preserve">化神突破物；炼器坊13级解锁，辅材与数量待对应版本确定</x:t>
  </x:si>
  <x:si>
    <x:t xml:space="preserve">破虚玄晶</x:t>
  </x:si>
  <x:si>
    <x:t xml:space="preserve">凝丹灵草 + 炼虚地区辅材</x:t>
  </x:si>
  <x:si>
    <x:t xml:space="preserve">炼虚突破物；炼器坊18级解锁，辅材与数量待对应版本确定</x:t>
  </x:si>
  <x:si>
    <x:t xml:space="preserve">两仪合真璧</x:t>
  </x:si>
  <x:si>
    <x:t xml:space="preserve">凝丹灵草 + 合体地区辅材</x:t>
  </x:si>
  <x:si>
    <x:t xml:space="preserve">合体突破物；炼器坊21级解锁，辅材与数量待对应版本确定</x:t>
  </x:si>
  <x:si>
    <x:t xml:space="preserve">渡厄金符</x:t>
  </x:si>
  <x:si>
    <x:t xml:space="preserve">凝丹灵草 + 大乘地区辅材</x:t>
  </x:si>
  <x:si>
    <x:t xml:space="preserve">大乘突破物；炼器坊24级解锁，辅材与数量待对应版本确定</x:t>
  </x:si>
  <x:si>
    <x:t xml:space="preserve">9.1 资源包</x:t>
  </x:si>
  <x:si>
    <x:t xml:space="preserve">事实源：34_1.0基础材料与资源循环_草案.md 第223行</x:t>
  </x:si>
  <x:si>
    <x:t xml:space="preserve">包装档位</x:t>
  </x:si>
  <x:si>
    <x:t xml:space="preserve">定位</x:t>
  </x:si>
  <x:si>
    <x:t xml:space="preserve">典型来源</x:t>
  </x:si>
  <x:si>
    <x:t xml:space="preserve">少量基础补给</x:t>
  </x:si>
  <x:si>
    <x:t xml:space="preserve">普通敌人、普通宝箱、低风险采集与低难度副本</x:t>
  </x:si>
  <x:si>
    <x:t xml:space="preserve">中量区域奖励</x:t>
  </x:si>
  <x:si>
    <x:t xml:space="preserve">精英、隐藏宝箱、中风险支路与中难度副本</x:t>
  </x:si>
  <x:si>
    <x:t xml:space="preserve">大量阶段奖励</x:t>
  </x:si>
  <x:si>
    <x:t xml:space="preserve">高危精英、Boss、首通奖励与高难度副本</x:t>
  </x:si>
  <x:si>
    <x:t xml:space="preserve">极大量或后期奖励</x:t>
  </x:si>
  <x:si>
    <x:t xml:space="preserve">稀有事件、后续高境界地图与明确配置的顶级奖励</x:t>
  </x:si>
  <x:si>
    <x:t xml:space="preserve">9.2 野外食物</x:t>
  </x:si>
  <x:si>
    <x:t xml:space="preserve">事实源：34_1.0基础材料与资源循环_草案.md 第266行</x:t>
  </x:si>
  <x:si>
    <x:t xml:space="preserve">食物示例</x:t>
  </x:si>
  <x:si>
    <x:t xml:space="preserve">叙事来源</x:t>
  </x:si>
  <x:si>
    <x:t xml:space="preserve">grainYield</x:t>
  </x:si>
  <x:si>
    <x:t xml:space="preserve">负重</x:t>
  </x:si>
  <x:si>
    <x:t xml:space="preserve">每ID持有上限</x:t>
  </x:si>
  <x:si>
    <x:t xml:space="preserve">辟谷饼</x:t>
  </x:si>
  <x:si>
    <x:t xml:space="preserve">营地、修士遗物、补给箱</x:t>
  </x:si>
  <x:si>
    <x:t xml:space="preserve">山行干粮</x:t>
  </x:si>
  <x:si>
    <x:t xml:space="preserve">废营、商队、地下城堡储藏室</x:t>
  </x:si>
  <x:si>
    <x:t xml:space="preserve">妖狼肉</x:t>
  </x:si>
  <x:si>
    <x:t xml:space="preserve">山地狼类敌人或狩猎事件</x:t>
  </x:si>
  <x:si>
    <x:t xml:space="preserve">地龙肉</x:t>
  </x:si>
  <x:si>
    <x:t xml:space="preserve">地下城堡、深层洞窟或高危妖兽</x:t>
  </x:si>
  <x:si>
    <x:t xml:space="preserve">11. 四图材料职责</x:t>
  </x:si>
  <x:si>
    <x:t xml:space="preserve">事实源：34_1.0基础材料与资源循环_草案.md 第316行</x:t>
  </x:si>
  <x:si>
    <x:t xml:space="preserve">主材料职责</x:t>
  </x:si>
  <x:si>
    <x:t xml:space="preserve">不应承担的职责</x:t>
  </x:si>
  <x:si>
    <x:t xml:space="preserve">地图1 破禁山麓</x:t>
  </x:si>
  <x:si>
    <x:t xml:space="preserve">灵粮、灵木、玄铁、少量灵晶和引灵砂；建立生产、采集与工具循环</x:t>
  </x:si>
  <x:si>
    <x:t xml:space="preserve">不产庚精、突破丹材和高品质铁胚</x:t>
  </x:si>
  <x:si>
    <x:t xml:space="preserve">地图2 白玉广场</x:t>
  </x:si>
  <x:si>
    <x:t xml:space="preserve">灵木、玄铁、灵晶、凝露草、照影石和四象阵砂；服务筑基后的探索扩张</x:t>
  </x:si>
  <x:si>
    <x:t xml:space="preserve">不随机投放凝丹灵草，不用普通材料替代筑基灵石</x:t>
  </x:si>
  <x:si>
    <x:t xml:space="preserve">地图3 灵宝遗址</x:t>
  </x:si>
  <x:si>
    <x:t xml:space="preserve">玄铁、灵晶、庚精、凝丹灵草和器灵残片；建立器纹、珍品装备与结丹准备</x:t>
  </x:si>
  <x:si>
    <x:t xml:space="preserve">不依赖重复副本补齐四人结丹保底</x:t>
  </x:si>
  <x:si>
    <x:t xml:space="preserve">地图4 镇魔塔外层</x:t>
  </x:si>
  <x:si>
    <x:t xml:space="preserve">庚精、灵晶、凝丹灵草、魔髓碎屑和古宝残片；服务后续突破储备、结丹后配装与机制选择</x:t>
  </x:si>
  <x:si>
    <x:t xml:space="preserve">不把魔髓或古宝残片放入普通生产岗位</x:t>
  </x:si>
  <x:si>
    <x:t xml:space="preserve">事实源：34_1.0基础材料与资源循环_草案.md 第326行</x:t>
  </x:si>
  <x:si>
    <x:t xml:space="preserve">资源点原型</x:t>
  </x:si>
  <x:si>
    <x:t xml:space="preserve">首次产量</x:t>
  </x:si>
  <x:si>
    <x:t xml:space="preserve">重复产量</x:t>
  </x:si>
  <x:si>
    <x:t xml:space="preserve">18–24</x:t>
  </x:si>
  <x:si>
    <x:t xml:space="preserve">9–12</x:t>
  </x:si>
  <x:si>
    <x:t xml:space="preserve">10–14</x:t>
  </x:si>
  <x:si>
    <x:t xml:space="preserve">5–7</x:t>
  </x:si>
  <x:si>
    <x:t xml:space="preserve">2–4</x:t>
  </x:si>
  <x:si>
    <x:t xml:space="preserve">1–2</x:t>
  </x:si>
  <x:si>
    <x:t xml:space="preserve">30–42</x:t>
  </x:si>
  <x:si>
    <x:t xml:space="preserve">15–21</x:t>
  </x:si>
  <x:si>
    <x:t xml:space="preserve">18–26</x:t>
  </x:si>
  <x:si>
    <x:t xml:space="preserve">9–13</x:t>
  </x:si>
  <x:si>
    <x:t xml:space="preserve">5–8</x:t>
  </x:si>
  <x:si>
    <x:t xml:space="preserve">30–44</x:t>
  </x:si>
  <x:si>
    <x:t xml:space="preserve">15–22</x:t>
  </x:si>
  <x:si>
    <x:t xml:space="preserve">10–15</x:t>
  </x:si>
  <x:si>
    <x:t xml:space="preserve">16–24</x:t>
  </x:si>
  <x:si>
    <x:t xml:space="preserve">8–12</x:t>
  </x:si>
  <x:si>
    <x:t xml:space="preserve">事实源：34_1.0基础材料与资源循环_草案.md 第342行</x:t>
  </x:si>
  <x:si>
    <x:t xml:space="preserve">材料点原型</x:t>
  </x:si>
  <x:si>
    <x:t xml:space="preserve">0；只由明确剧情或固定对象再次投放</x:t>
  </x:si>
  <x:si>
    <x:t xml:space="preserve">2–3</x:t>
  </x:si>
  <x:si>
    <x:t xml:space="preserve">魔髓碎屑</x:t>
  </x:si>
  <x:si>
    <x:t xml:space="preserve">交易、生产、储量、还魂与失败</x:t>
  </x:si>
  <x:si>
    <x:t xml:space="preserve">自然刷新与离线生产按现实时间累计；扎营每次固定一次免费疗伤，不消耗任何物品</x:t>
  </x:si>
  <x:si>
    <x:t xml:space="preserve">交易行手动刷新费</x:t>
  </x:si>
  <x:si>
    <x:t xml:space="preserve">公式：600 + 300 × (最高已到达地图序号 - 1)</x:t>
  </x:si>
  <x:si>
    <x:t xml:space="preserve">最高地图</x:t>
  </x:si>
  <x:si>
    <x:t xml:space="preserve">地图序号</x:t>
  </x:si>
  <x:si>
    <x:t xml:space="preserve">手动刷新费</x:t>
  </x:si>
  <x:si>
    <x:t xml:space="preserve">自然刷新</x:t>
  </x:si>
  <x:si>
    <x:t xml:space="preserve">2小时</x:t>
  </x:si>
  <x:si>
    <x:t xml:space="preserve">灵石包刷新套利检查</x:t>
  </x:si>
  <x:si>
    <x:t xml:space="preserve">单包净值必须低于地图1最低手动刷新费 600；库存、随机权重与整批刷新进一步限制收益</x:t>
  </x:si>
  <x:si>
    <x:t xml:space="preserve">开包灵石</x:t>
  </x:si>
  <x:si>
    <x:t xml:space="preserve">购买价</x:t>
  </x:si>
  <x:si>
    <x:t xml:space="preserve">单包净值</x:t>
  </x:si>
  <x:si>
    <x:t xml:space="preserve">最低刷新费</x:t>
  </x:si>
  <x:si>
    <x:t xml:space="preserve">Lv1–30 还魂费用</x:t>
  </x:si>
  <x:si>
    <x:t xml:space="preserve">公式结果向上取整到 5 的倍数；免费还魂保底不改变标准费用</x:t>
  </x:si>
  <x:si>
    <x:t xml:space="preserve">原始费用</x:t>
  </x:si>
  <x:si>
    <x:t xml:space="preserve">还魂费用</x:t>
  </x:si>
  <x:si>
    <x:t xml:space="preserve">公式口径</x:t>
  </x:si>
  <x:si>
    <x:t xml:space="preserve">20+8×等级</x:t>
  </x:si>
  <x:si>
    <x:t xml:space="preserve">36_营地后勤与野外循环机制_草案.md §5.2</x:t>
  </x:si>
  <x:si>
    <x:t xml:space="preserve">100+15×(等级-10)</x:t>
  </x:si>
  <x:si>
    <x:t xml:space="preserve">300+25×(等级-20)</x:t>
  </x:si>
  <x:si>
    <x:t xml:space="preserve">2.2 栏位与库存</x:t>
  </x:si>
  <x:si>
    <x:t xml:space="preserve">事实源：36_营地后勤与野外循环机制_草案.md 第46行</x:t>
  </x:si>
  <x:si>
    <x:t xml:space="preserve">常备商品</x:t>
  </x:si>
  <x:si>
    <x:t xml:space="preserve">单价（灵石）</x:t>
  </x:si>
  <x:si>
    <x:t xml:space="preserve">每批库存</x:t>
  </x:si>
  <x:si>
    <x:t xml:space="preserve">探灵镜</x:t>
  </x:si>
  <x:si>
    <x:t xml:space="preserve">2.4 随机商品池</x:t>
  </x:si>
  <x:si>
    <x:t xml:space="preserve">事实源：36_营地后勤与野外循环机制_草案.md 第82行</x:t>
  </x:si>
  <x:si>
    <x:t xml:space="preserve">大类</x:t>
  </x:si>
  <x:si>
    <x:t xml:space="preserve">权重</x:t>
  </x:si>
  <x:si>
    <x:t xml:space="preserve">单格库存</x:t>
  </x:si>
  <x:si>
    <x:t xml:space="preserve">价格</x:t>
  </x:si>
  <x:si>
    <x:t xml:space="preserve">资源包</x:t>
  </x:si>
  <x:si>
    <x:t xml:space="preserve">见下表</x:t>
  </x:si>
  <x:si>
    <x:t xml:space="preserve">260/个</x:t>
  </x:si>
  <x:si>
    <x:t xml:space="preserve">1200/个</x:t>
  </x:si>
  <x:si>
    <x:t xml:space="preserve">特殊效果蓝图</x:t>
  </x:si>
  <x:si>
    <x:t xml:space="preserve">地图2/3/4档：1600/2400/3600</x:t>
  </x:si>
  <x:si>
    <x:t xml:space="preserve">2器纹槽蓝图</x:t>
  </x:si>
  <x:si>
    <x:t xml:space="preserve">地图2/3/4档：2400/3600/5200</x:t>
  </x:si>
  <x:si>
    <x:t xml:space="preserve">特效＋2槽蓝图</x:t>
  </x:si>
  <x:si>
    <x:t xml:space="preserve">地图2/3/4档：3600/5200/7600</x:t>
  </x:si>
  <x:si>
    <x:t xml:space="preserve">事实源：36_营地后勤与野外循环机制_草案.md 第95行</x:t>
  </x:si>
  <x:si>
    <x:t xml:space="preserve">灵木包价格</x:t>
  </x:si>
  <x:si>
    <x:t xml:space="preserve">玄铁包价格</x:t>
  </x:si>
  <x:si>
    <x:t xml:space="preserve">灵石包价格</x:t>
  </x:si>
  <x:si>
    <x:t xml:space="preserve">灵晶包价格</x:t>
  </x:si>
  <x:si>
    <x:t xml:space="preserve">庚精包价格</x:t>
  </x:si>
  <x:si>
    <x:t xml:space="preserve">3.3 生产、离线与储量</x:t>
  </x:si>
  <x:si>
    <x:t xml:space="preserve">事实源：36_营地后勤与野外循环机制_草案.md 第132行</x:t>
  </x:si>
  <x:si>
    <x:t xml:space="preserve">单名杂役岗位</x:t>
  </x:si>
  <x:si>
    <x:t xml:space="preserve">开放条件</x:t>
  </x:si>
  <x:si>
    <x:t xml:space="preserve">灵粮</x:t>
  </x:si>
  <x:si>
    <x:t xml:space="preserve">12灵粮</x:t>
  </x:si>
  <x:si>
    <x:t xml:space="preserve">6灵木</x:t>
  </x:si>
  <x:si>
    <x:t xml:space="preserve">3玄铁</x:t>
  </x:si>
  <x:si>
    <x:t xml:space="preserve">1灵晶</x:t>
  </x:si>
  <x:si>
    <x:t xml:space="preserve">到达地图2</x:t>
  </x:si>
  <x:si>
    <x:t xml:space="preserve">每2周期1庚精</x:t>
  </x:si>
  <x:si>
    <x:t xml:space="preserve">每周期2</x:t>
  </x:si>
  <x:si>
    <x:t xml:space="preserve">到达地图3</x:t>
  </x:si>
  <x:si>
    <x:t xml:space="preserve">事实源：36_营地后勤与野外循环机制_草案.md 第143行</x:t>
  </x:si>
  <x:si>
    <x:t xml:space="preserve">储量等级</x:t>
  </x:si>
  <x:si>
    <x:t xml:space="preserve">灵粮容量/升级木</x:t>
  </x:si>
  <x:si>
    <x:t xml:space="preserve">灵木容量/升级木</x:t>
  </x:si>
  <x:si>
    <x:t xml:space="preserve">玄铁容量/升级木</x:t>
  </x:si>
  <x:si>
    <x:t xml:space="preserve">灵晶容量/升级木</x:t>
  </x:si>
  <x:si>
    <x:t xml:space="preserve">庚精容量/升级木</x:t>
  </x:si>
  <x:si>
    <x:t xml:space="preserve">400/0</x:t>
  </x:si>
  <x:si>
    <x:t xml:space="preserve">300/0</x:t>
  </x:si>
  <x:si>
    <x:t xml:space="preserve">200/0</x:t>
  </x:si>
  <x:si>
    <x:t xml:space="preserve">100/0</x:t>
  </x:si>
  <x:si>
    <x:t xml:space="preserve">20/0</x:t>
  </x:si>
  <x:si>
    <x:t xml:space="preserve">800/80</x:t>
  </x:si>
  <x:si>
    <x:t xml:space="preserve">800/100</x:t>
  </x:si>
  <x:si>
    <x:t xml:space="preserve">500/120</x:t>
  </x:si>
  <x:si>
    <x:t xml:space="preserve">250/160</x:t>
  </x:si>
  <x:si>
    <x:t xml:space="preserve">50/220</x:t>
  </x:si>
  <x:si>
    <x:t xml:space="preserve">1600/220</x:t>
  </x:si>
  <x:si>
    <x:t xml:space="preserve">2000/300</x:t>
  </x:si>
  <x:si>
    <x:t xml:space="preserve">1200/360</x:t>
  </x:si>
  <x:si>
    <x:t xml:space="preserve">600/480</x:t>
  </x:si>
  <x:si>
    <x:t xml:space="preserve">120/650</x:t>
  </x:si>
  <x:si>
    <x:t xml:space="preserve">3200/600</x:t>
  </x:si>
  <x:si>
    <x:t xml:space="preserve">5000/900</x:t>
  </x:si>
  <x:si>
    <x:t xml:space="preserve">3000/1050</x:t>
  </x:si>
  <x:si>
    <x:t xml:space="preserve">1500/1400</x:t>
  </x:si>
  <x:si>
    <x:t xml:space="preserve">300/1900</x:t>
  </x:si>
  <x:si>
    <x:t xml:space="preserve">6000/1600</x:t>
  </x:si>
  <x:si>
    <x:t xml:space="preserve">12000/2600</x:t>
  </x:si>
  <x:si>
    <x:t xml:space="preserve">7000/3000</x:t>
  </x:si>
  <x:si>
    <x:t xml:space="preserve">3500/4000</x:t>
  </x:si>
  <x:si>
    <x:t xml:space="preserve">700/5200</x:t>
  </x:si>
  <x:si>
    <x:t xml:space="preserve">可重复资源副本数值</x:t>
  </x:si>
  <x:si>
    <x:t xml:space="preserve">核心货币效率＝保底核心货币 ÷ 合格队伍平均通关分钟数；概率附加奖励不折现进效率</x:t>
  </x:si>
  <x:si>
    <x:t xml:space="preserve">副本</x:t>
  </x:si>
  <x:si>
    <x:t xml:space="preserve">难度</x:t>
  </x:si>
  <x:si>
    <x:t xml:space="preserve">永久解锁</x:t>
  </x:si>
  <x:si>
    <x:t xml:space="preserve">推荐战力</x:t>
  </x:si>
  <x:si>
    <x:t xml:space="preserve">平均分钟</x:t>
  </x:si>
  <x:si>
    <x:t xml:space="preserve">货币</x:t>
  </x:si>
  <x:si>
    <x:t xml:space="preserve">保底数量</x:t>
  </x:si>
  <x:si>
    <x:t xml:space="preserve">回算效率/分钟</x:t>
  </x:si>
  <x:si>
    <x:t xml:space="preserve">与展示值差</x:t>
  </x:si>
  <x:si>
    <x:t xml:space="preserve">附加奖励</x:t>
  </x:si>
  <x:si>
    <x:t xml:space="preserve">装备概率</x:t>
  </x:si>
  <x:si>
    <x:t xml:space="preserve">策划展示效率</x:t>
  </x:si>
  <x:si>
    <x:t xml:space="preserve">回火矿窟</x:t>
  </x:si>
  <x:si>
    <x:t xml:space="preserve">余火层</x:t>
  </x:si>
  <x:si>
    <x:t xml:space="preserve">四臂铸灵傀首杀</x:t>
  </x:si>
  <x:si>
    <x:t xml:space="preserve">下品玄铁包1；40%下品灵晶包1</x:t>
  </x:si>
  <x:si>
    <x:t xml:space="preserve">地图/32_可重复资源副本与新修士追赶机制_草案.md 第213行</x:t>
  </x:si>
  <x:si>
    <x:t xml:space="preserve">赤炉层</x:t>
  </x:si>
  <x:si>
    <x:t xml:space="preserve">四人全部结丹</x:t>
  </x:si>
  <x:si>
    <x:t xml:space="preserve">上品玄铁包1；50%下品灵晶包1；20%下品庚精包1</x:t>
  </x:si>
  <x:si>
    <x:t xml:space="preserve">地脉层</x:t>
  </x:si>
  <x:si>
    <x:t xml:space="preserve">1.0最终Boss首杀</x:t>
  </x:si>
  <x:si>
    <x:t xml:space="preserve">特级玄铁包1；上品灵晶包1；35%上品庚精包1</x:t>
  </x:si>
  <x:si>
    <x:t xml:space="preserve">镇魂残响</x:t>
  </x:si>
  <x:si>
    <x:t xml:space="preserve">旧印层</x:t>
  </x:si>
  <x:si>
    <x:t xml:space="preserve">封魂间首清并稳定魂印</x:t>
  </x:si>
  <x:si>
    <x:t xml:space="preserve">引灵砂2；25%下品灵晶包1</x:t>
  </x:si>
  <x:si>
    <x:t xml:space="preserve">尸煞层</x:t>
  </x:si>
  <x:si>
    <x:t xml:space="preserve">四人全部结丹且处理两条封链</x:t>
  </x:si>
  <x:si>
    <x:t xml:space="preserve">器灵残片3；40%下品灵晶包1</x:t>
  </x:si>
  <x:si>
    <x:t xml:space="preserve">银翅层</x:t>
  </x:si>
  <x:si>
    <x:t xml:space="preserve">器灵残片5；50%上品灵晶包1；20%上品庚精包1</x:t>
  </x:si>
  <x:si>
    <x:t xml:space="preserve">6.4 1.0三档数值</x:t>
  </x:si>
  <x:si>
    <x:t xml:space="preserve">事实源：地图/32_可重复资源副本与新修士追赶机制_草案.md 第228行</x:t>
  </x:si>
  <x:si>
    <x:t xml:space="preserve">模板范围</x:t>
  </x:si>
  <x:si>
    <x:t xml:space="preserve">第一档</x:t>
  </x:si>
  <x:si>
    <x:t xml:space="preserve">已解锁基础模板</x:t>
  </x:si>
  <x:si>
    <x:t xml:space="preserve">第二档</x:t>
  </x:si>
  <x:si>
    <x:t xml:space="preserve">已解锁基础、白玉模板</x:t>
  </x:si>
  <x:si>
    <x:t xml:space="preserve">第三档</x:t>
  </x:si>
  <x:si>
    <x:t xml:space="preserve">已解锁白玉、灵宝模板</x:t>
  </x:si>
  <x:si>
    <x:t xml:space="preserve">事实源：地图/32_可重复资源副本与新修士追赶机制_草案.md 第238行</x:t>
  </x:si>
  <x:si>
    <x:t xml:space="preserve">一次性首通奖励</x:t>
  </x:si>
  <x:si>
    <x:t xml:space="preserve">灵石1200、下品玄铁包2、归营符2、营地快速重返捷径</x:t>
  </x:si>
  <x:si>
    <x:t xml:space="preserve">灵石1800、指定护体器纹1、指定定力器纹1</x:t>
  </x:si>
  <x:si>
    <x:t xml:space="preserve">灵石2800、特级玄铁包1、特级灵晶包1</x:t>
  </x:si>
  <x:si>
    <x:t xml:space="preserve">魂晶1500、器灵残片4、营地快速重返捷径</x:t>
  </x:si>
  <x:si>
    <x:t xml:space="preserve">魂晶2400、指定定力器纹1、指定神识器纹1</x:t>
  </x:si>
  <x:si>
    <x:t xml:space="preserve">魂晶3600、上品灵晶包2、上品庚精包1</x:t>
  </x:si>
  <x:si>
    <x:t xml:space="preserve">6.5 固定敌群与机制首领</x:t>
  </x:si>
  <x:si>
    <x:t xml:space="preserve">事实源：地图/32_可重复资源副本与新修士追赶机制_草案.md 第252行</x:t>
  </x:si>
  <x:si>
    <x:t xml:space="preserve">第一战</x:t>
  </x:si>
  <x:si>
    <x:t xml:space="preserve">第二战</x:t>
  </x:si>
  <x:si>
    <x:t xml:space="preserve">机制首领</x:t>
  </x:si>
  <x:si>
    <x:t xml:space="preserve">断刃器灵2＋铸灵铜傀1</x:t>
  </x:si>
  <x:si>
    <x:t xml:space="preserve">铸灵铜傀2＋夺宝散修1</x:t>
  </x:si>
  <x:si>
    <x:t xml:space="preserve">回火矿傀：HP9000、护盾2000；关闭错误炉口使护盾失效80tick</x:t>
  </x:si>
  <x:si>
    <x:t xml:space="preserve">铸灵铜傀2＋吞金兽1</x:t>
  </x:si>
  <x:si>
    <x:t xml:space="preserve">断刃器灵2＋夺宝散修2</x:t>
  </x:si>
  <x:si>
    <x:t xml:space="preserve">赤炉监工：HP14000、护盾3500；护炉目标存活使其每20秒恢复1200</x:t>
  </x:si>
  <x:si>
    <x:t xml:space="preserve">吞金兽2＋熔炉石傀1</x:t>
  </x:si>
  <x:si>
    <x:t xml:space="preserve">铸灵铜傀2＋断刃器灵3</x:t>
  </x:si>
  <x:si>
    <x:t xml:space="preserve">地脉炉心：HP21000、护盾5000；三炉口按证据顺序关闭，错关触发一次全体回火</x:t>
  </x:si>
  <x:si>
    <x:t xml:space="preserve">封链魔灵1＋摄魂残影2</x:t>
  </x:si>
  <x:si>
    <x:t xml:space="preserve">摄魂残影1＋裂隙化形2</x:t>
  </x:si>
  <x:si>
    <x:t xml:space="preserve">旧印残像：HP12000；保护2枚魂印，毁1枚则首领伤害+15%</x:t>
  </x:si>
  <x:si>
    <x:t xml:space="preserve">银甲尸2＋摄魂残影1</x:t>
  </x:si>
  <x:si>
    <x:t xml:space="preserve">封链魔灵2＋魔气寄生体1</x:t>
  </x:si>
  <x:si>
    <x:t xml:space="preserve">尸将残响：HP18000、魂旗HP3500；魂旗存活时首次濒死恢复4500</x:t>
  </x:si>
  <x:si>
    <x:t xml:space="preserve">银翅残羽2＋裂隙化形1</x:t>
  </x:si>
  <x:si>
    <x:t xml:space="preserve">银甲尸2＋封链魔灵2</x:t>
  </x:si>
  <x:si>
    <x:t xml:space="preserve">银翅残响：HP26000、残羽各3000；残羽存活时分别使首领伤害+10%、速度+8%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</x:si>
</x:sst>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2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17A"/>
      <x:name val="Carlito"/>
    </x:font>
    <x:font>
      <x:b/>
      <x:sz val="11"/>
      <x:color rgb="FFFFFFFF"/>
      <x:name val="Carlito"/>
    </x:font>
    <x:font>
      <x:sz val="11"/>
      <x:color rgb="FF263238"/>
      <x:name val="Carlito"/>
    </x:font>
    <x:font>
      <x:b/>
      <x:sz val="11"/>
      <x:color rgb="FF263238"/>
      <x:name val="Carlito"/>
    </x:font>
    <x:font>
      <x:sz val="9"/>
      <x:color rgb="FF66717A"/>
      <x:name val="Carlito"/>
    </x:font>
    <x:font>
      <x:sz val="11"/>
      <x:color rgb="FF2F6B5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F7F5EF"/>
      </x:patternFill>
    </x:fill>
    <x:fill>
      <x:patternFill patternType="solid">
        <x:fgColor rgb="FF2F6B5F"/>
      </x:patternFill>
    </x:fill>
    <x:fill>
      <x:patternFill patternType="solid">
        <x:fgColor rgb="FFFFF3D3"/>
      </x:patternFill>
    </x:fill>
    <x:fill>
      <x:patternFill patternType="solid">
        <x:fgColor rgb="FFE8F0F7"/>
      </x:patternFill>
    </x:fill>
    <x:fill>
      <x:patternFill patternType="solid">
        <x:fgColor rgb="FFECEFF1"/>
      </x:patternFill>
    </x:fill>
    <x:fill>
      <x:patternFill patternType="solid">
        <x:fgColor rgb="FFE7F3E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rgb="FFD6DADD"/>
      </x:left>
      <x:right style="thin">
        <x:color rgb="FFD6DADD"/>
      </x:right>
      <x:top style="thin">
        <x:color rgb="FFD6DADD"/>
      </x:top>
      <x:bottom style="thin">
        <x:color rgb="FFD6DADD"/>
      </x:bottom>
    </x:border>
    <x:border>
      <x:bottom style="thin">
        <x:color rgb="FFD6DADD"/>
      </x:bottom>
    </x:border>
    <x:border>
      <x:top style="thin">
        <x:color rgb="FFD6DADD"/>
      </x:top>
      <x:bottom style="thin">
        <x:color rgb="FFD6DADD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8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9" borderId="4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11" borderId="8" applyNumberFormat="0" applyAlignment="0" applyProtection="0">
      <x:alignment vertical="center"/>
    </x:xf>
    <x:xf numFmtId="0" fontId="19" fillId="11" borderId="7" applyNumberFormat="0" applyAlignment="0" applyProtection="0">
      <x:alignment vertical="center"/>
    </x:xf>
    <x:xf numFmtId="0" fontId="20" fillId="12" borderId="9" applyNumberFormat="0" applyAlignment="0" applyProtection="0">
      <x:alignment vertical="center"/>
    </x:xf>
    <x:xf numFmtId="0" fontId="21" fillId="0" borderId="10" applyNumberFormat="0" applyFill="0" applyAlignment="0" applyProtection="0">
      <x:alignment vertical="center"/>
    </x:xf>
    <x:xf numFmtId="0" fontId="22" fillId="0" borderId="11" applyNumberFormat="0" applyFill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7" fillId="38" borderId="0" applyNumberFormat="0" applyBorder="0" applyAlignment="0" applyProtection="0">
      <x:alignment vertical="center"/>
    </x:xf>
    <x:xf numFmtId="0" fontId="26" fillId="39" borderId="0" applyNumberFormat="0" applyBorder="0" applyAlignment="0" applyProtection="0">
      <x:alignment vertical="center"/>
    </x:xf>
    <x:xf numFmtId="0" fontId="0" fillId="0" borderId="0"/>
  </x:cellStyleXfs>
  <x:cellXfs count="28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3" borderId="0" xfId="49" applyNumberFormat="1" applyFont="1" applyFill="1" applyBorder="1" applyAlignment="1">
      <x:alignment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3" fontId="4" fillId="5" borderId="0" xfId="49" applyNumberFormat="1" applyFont="1" applyFill="1" applyBorder="1"/>
    <x:xf numFmtId="0" fontId="5" fillId="6" borderId="0" xfId="49" applyNumberFormat="1" applyFont="1" applyFill="1" applyBorder="1" applyAlignment="1">
      <x:alignment vertical="center"/>
    </x:xf>
    <x:xf numFmtId="0" fontId="6" fillId="7" borderId="0" xfId="49" applyNumberFormat="1" applyFont="1" applyFill="1" applyBorder="1"/>
    <x:xf numFmtId="0" fontId="0" fillId="0" borderId="2" xfId="49" applyNumberFormat="1" applyFont="1" applyFill="1" applyBorder="1" applyAlignment="1">
      <x:alignment vertical="top" wrapText="1"/>
    </x:xf>
    <x:xf numFmtId="9" fontId="4" fillId="5" borderId="2" xfId="49" applyNumberFormat="1" applyFont="1" applyFill="1" applyBorder="1" applyAlignment="1">
      <x:alignment vertical="top" wrapText="1"/>
    </x:xf>
    <x:xf numFmtId="3" fontId="4" fillId="5" borderId="2" xfId="49" applyNumberFormat="1" applyFont="1" applyFill="1" applyBorder="1" applyAlignment="1">
      <x:alignment vertical="top" wrapText="1"/>
    </x:xf>
    <x:xf numFmtId="0" fontId="0" fillId="0" borderId="3" xfId="49" applyNumberFormat="1" applyFont="1" applyFill="1" applyBorder="1" applyAlignment="1">
      <x:alignment vertical="top" wrapText="1"/>
    </x:xf>
    <x:xf numFmtId="3" fontId="4" fillId="5" borderId="3" xfId="49" applyNumberFormat="1" applyFont="1" applyFill="1" applyBorder="1" applyAlignment="1">
      <x:alignment vertical="top" wrapText="1"/>
    </x:xf>
    <x:xf numFmtId="9" fontId="4" fillId="5" borderId="3" xfId="49" applyNumberFormat="1" applyFont="1" applyFill="1" applyBorder="1" applyAlignment="1">
      <x:alignment vertical="top" wrapText="1"/>
    </x:xf>
    <x:xf numFmtId="176" fontId="7" fillId="8" borderId="0" xfId="49" applyNumberFormat="1" applyFont="1" applyFill="1" applyBorder="1"/>
    <x:xf numFmtId="9" fontId="4" fillId="5" borderId="0" xfId="49" applyNumberFormat="1" applyFont="1" applyFill="1" applyBorder="1"/>
    <x:xf numFmtId="176" fontId="4" fillId="5" borderId="0" xfId="49" applyNumberFormat="1" applyFont="1" applyFill="1" applyBorder="1"/>
    <x:xf numFmtId="3" fontId="7" fillId="8" borderId="0" xfId="49" applyNumberFormat="1" applyFont="1" applyFill="1" applyBorder="1"/>
    <x:xf numFmtId="49" fontId="7" fillId="8" borderId="0" xfId="49" applyNumberFormat="1" applyFont="1" applyFill="1" applyBorder="1"/>
    <x:xf numFmtId="0" fontId="0" fillId="0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vertical="top" wrapText="1"/>
    </x:xf>
    <x:xf numFmtId="3" fontId="4" fillId="5" borderId="0" xfId="49" applyNumberFormat="1" applyFont="1" applyFill="1" applyBorder="1" applyAlignment="1">
      <x:alignment vertical="top" wrapText="1"/>
    </x:xf>
    <x:xf numFmtId="3" fontId="7" fillId="8" borderId="0" xfId="49" applyNumberFormat="1" applyFont="1" applyFill="1" applyBorder="1" applyAlignment="1">
      <x:alignment vertical="top" wrapText="1"/>
    </x:xf>
    <x:xf numFmtId="2" fontId="4" fillId="5" borderId="2" xfId="49" applyNumberFormat="1" applyFont="1" applyFill="1" applyBorder="1" applyAlignment="1">
      <x:alignment vertical="top" wrapText="1"/>
    </x:xf>
    <x:xf numFmtId="2" fontId="4" fillId="5" borderId="3" xfId="49" applyNumberFormat="1" applyFont="1" applyFill="1" applyBorder="1" applyAlignment="1">
      <x:alignment vertical="top" wrapText="1"/>
    </x:xf>
    <x:xf numFmtId="2" fontId="7" fillId="8" borderId="0" xfId="49" applyNumberFormat="1" applyFont="1" applyFill="1" applyBorder="1" applyAlignment="1">
      <x:alignment vertical="top" wrapText="1"/>
    </x:xf>
    <x:xf numFmtId="0" fontId="5" fillId="6" borderId="0" xfId="49" applyNumberFormat="1" applyFont="1" applyFill="1" applyBorder="1"/>
    <x:xf numFmtId="176" fontId="7" fillId="8" borderId="0" xfId="49" applyNumberFormat="1" applyFont="1" applyFill="1" applyBorder="1" applyAlignment="1">
      <x:alignment vertical="top" wrapText="1"/>
    </x:xf>
    <x:xf numFmtId="49" fontId="7" fillId="8" borderId="0" xfId="49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B9533C"/>
      </x:font>
      <x:fill>
        <x:patternFill>
          <x:bgColor rgb="FFFBE9E4"/>
        </x:patternFill>
      </x:fill>
    </x:dxf>
    <x:dxf>
      <x:font>
        <x:b/>
        <x:color rgb="FF2F6B5F"/>
      </x:font>
      <x:fill>
        <x:patternFill>
          <x:bgColor rgb="FFE7F3ED"/>
        </x:patternFill>
      </x:fill>
    </x:dxf>
    <x:dxf>
      <x:fill>
        <x:patternFill>
          <x:bgColor rgb="FFFFF3D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a8d79d81247b1" /><Relationship Type="http://schemas.openxmlformats.org/officeDocument/2006/relationships/theme" Target="/xl/theme/theme1.xml" Id="Rd107b9436cce429d" /><Relationship Type="http://schemas.openxmlformats.org/officeDocument/2006/relationships/sharedStrings" Target="/xl/sharedStrings.xml" Id="R0452d4cd08144990" /><Relationship Type="http://schemas.openxmlformats.org/officeDocument/2006/relationships/worksheet" Target="/xl/worksheets/sheet1.xml" Id="R07abb66315394f0e" /><Relationship Type="http://schemas.openxmlformats.org/officeDocument/2006/relationships/worksheet" Target="/xl/worksheets/sheet2.xml" Id="R9ceabd11a1f14907" /><Relationship Type="http://schemas.openxmlformats.org/officeDocument/2006/relationships/worksheet" Target="/xl/worksheets/sheet3.xml" Id="R7681ebb940624fbc" /><Relationship Type="http://schemas.openxmlformats.org/officeDocument/2006/relationships/worksheet" Target="/xl/worksheets/sheet4.xml" Id="Rc2a868a32aab4bd9" /><Relationship Type="http://schemas.openxmlformats.org/officeDocument/2006/relationships/worksheet" Target="/xl/worksheets/sheet5.xml" Id="Rf2c4532a74fe42e8" /><Relationship Type="http://schemas.openxmlformats.org/officeDocument/2006/relationships/worksheet" Target="/xl/worksheets/sheet6.xml" Id="Rb362b8e222df45f1" /><Relationship Type="http://schemas.openxmlformats.org/officeDocument/2006/relationships/worksheet" Target="/xl/worksheets/sheet7.xml" Id="R7e575ce42e674b38" /><Relationship Type="http://schemas.openxmlformats.org/officeDocument/2006/relationships/worksheet" Target="/xl/worksheets/sheet8.xml" Id="Rbcde341828bd4b08" /><Relationship Type="http://schemas.openxmlformats.org/officeDocument/2006/relationships/worksheet" Target="/xl/worksheets/sheet9.xml" Id="R857dc3845eae4e73" /><Relationship Type="http://schemas.openxmlformats.org/officeDocument/2006/relationships/worksheet" Target="/xl/worksheets/sheet10.xml" Id="R0cc9d455d8b94db6" /><Relationship Type="http://schemas.openxmlformats.org/officeDocument/2006/relationships/worksheet" Target="/xl/worksheets/sheet11.xml" Id="Rb94ea82c58ff4ad1" /><Relationship Type="http://schemas.openxmlformats.org/officeDocument/2006/relationships/worksheet" Target="/xl/worksheets/sheet12.xml" Id="Re5c0a37380344bd8" /><Relationship Type="http://schemas.openxmlformats.org/officeDocument/2006/relationships/worksheet" Target="/xl/worksheets/sheet13.xml" Id="R3432106faea94035" /><Relationship Type="http://schemas.openxmlformats.org/officeDocument/2006/relationships/worksheet" Target="/xl/worksheets/sheet14.xml" Id="R4d3d6455da0f4913" /></Relationships>
</file>

<file path=xl/tables/table1.xml><?xml version="1.0" encoding="utf-8"?>
<x:table xmlns:x="http://schemas.openxmlformats.org/spreadsheetml/2006/main" id="1" name="Index_001" displayName="Index_001" ref="A6:C19" totalsRowShown="0">
  <x:tableColumns count="3">
    <x:tableColumn id="1" name="工作表"/>
    <x:tableColumn id="2" name="内容"/>
    <x:tableColumn id="3" name="使用要点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ources_002" displayName="Sources_002" ref="A24:D32" totalsRowShown="0">
  <x:tableColumns count="4">
    <x:tableColumn id="1" name="文件"/>
    <x:tableColumn id="2" name="版本"/>
    <x:tableColumn id="3" name="日期"/>
    <x:tableColumn id="4" name="仓库路径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KeyParam_003" displayName="KeyParam_003" ref="A4:E19" totalsRowShown="0">
  <x:tableColumns count="5">
    <x:tableColumn id="1" name="系统"/>
    <x:tableColumn id="2" name="参数"/>
    <x:tableColumn id="3" name="输入值"/>
    <x:tableColumn id="4" name="单位"/>
    <x:tableColumn id="5" name="事实源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hecks_004" displayName="Checks_004" ref="A24:F30" totalsRowShown="0">
  <x:tableColumns count="6">
    <x:tableColumn id="1" name="检查项"/>
    <x:tableColumn id="2" name="当前值"/>
    <x:tableColumn id="3" name="目标/上限"/>
    <x:tableColumn id="4" name="关系"/>
    <x:tableColumn id="5" name="状态"/>
    <x:tableColumn id="6" name="说明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LevelCost_005" displayName="LevelCost_005" ref="A15:E44" totalsRowShown="0">
  <x:tableColumns count="5">
    <x:tableColumn id="1" name="当前等级"/>
    <x:tableColumn id="2" name="目标等级"/>
    <x:tableColumn id="3" name="本级魂晶"/>
    <x:tableColumn id="4" name="单人累计"/>
    <x:tableColumn id="5" name="四人累计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Breakthrough_006" displayName="Breakthrough_006" ref="A49:G54" totalsRowShown="0">
  <x:tableColumns count="7">
    <x:tableColumn id="1" name="事项"/>
    <x:tableColumn id="2" name="最低等级"/>
    <x:tableColumn id="3" name="灵石"/>
    <x:tableColumn id="4" name="降尘丹"/>
    <x:tableColumn id="5" name="灵晶折算"/>
    <x:tableColumn id="6" name="升级魂晶"/>
    <x:tableColumn id="7" name="条件/说明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Src_007" displayName="Src_007" ref="A6:D12" totalsRowShown="0">
  <x:tableColumns count="4">
    <x:tableColumn id="1" name="灵根资质"/>
    <x:tableColumn id="2" name="稳定 ID"/>
    <x:tableColumn id="3" name="初始七维倍率 basePercent"/>
    <x:tableColumn id="4" name="升级成长倍率 growthPercent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Src_008" displayName="Src_008" ref="A17:C21" totalsRowShown="0">
  <x:tableColumns count="3">
    <x:tableColumn id="1" name="修士"/>
    <x:tableColumn id="2" name="初始职业"/>
    <x:tableColumn id="3" name="灵根资质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Src_009" displayName="Src_009" ref="A26:H30" totalsRowShown="0">
  <x:tableColumns count="8">
    <x:tableColumn id="1" name="职业"/>
    <x:tableColumn id="2" name="力道"/>
    <x:tableColumn id="3" name="法力"/>
    <x:tableColumn id="4" name="神识"/>
    <x:tableColumn id="5" name="遁速"/>
    <x:tableColumn id="6" name="肉身"/>
    <x:tableColumn id="7" name="护体"/>
    <x:tableColumn id="8" name="定力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Src_010" displayName="Src_010" ref="A35:I43" totalsRowShown="0">
  <x:tableColumns count="9">
    <x:tableColumn id="1" name="路线"/>
    <x:tableColumn id="2" name="力道"/>
    <x:tableColumn id="3" name="法力"/>
    <x:tableColumn id="4" name="神识"/>
    <x:tableColumn id="5" name="遁速"/>
    <x:tableColumn id="6" name="肉身"/>
    <x:tableColumn id="7" name="护体"/>
    <x:tableColumn id="8" name="定力"/>
    <x:tableColumn id="9" name="每级定位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Src_011" displayName="Src_011" ref="A48:I56" totalsRowShown="0">
  <x:tableColumns count="9">
    <x:tableColumn id="1" name="结丹职业"/>
    <x:tableColumn id="2" name="力"/>
    <x:tableColumn id="3" name="法"/>
    <x:tableColumn id="4" name="神"/>
    <x:tableColumn id="5" name="速"/>
    <x:tableColumn id="6" name="肉"/>
    <x:tableColumn id="7" name="护"/>
    <x:tableColumn id="8" name="定"/>
    <x:tableColumn id="9" name="合计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Src_012" displayName="Src_012" ref="A61:G65" totalsRowShown="0">
  <x:tableColumns count="7">
    <x:tableColumn id="1" name="修士"/>
    <x:tableColumn id="2" name="Lv1"/>
    <x:tableColumn id="3" name="Lv10"/>
    <x:tableColumn id="4" name="Lv20"/>
    <x:tableColumn id="5" name="Lv21"/>
    <x:tableColumn id="6" name="Lv25"/>
    <x:tableColumn id="7" name="Lv30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Src_013" displayName="Src_013" ref="A70:E78" totalsRowShown="0">
  <x:tableColumns count="5">
    <x:tableColumn id="1" name="固定修士·路线"/>
    <x:tableColumn id="2" name="Lv20"/>
    <x:tableColumn id="3" name="Lv21"/>
    <x:tableColumn id="4" name="Lv24"/>
    <x:tableColumn id="5" name="Lv30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CombatFormula_014" displayName="CombatFormula_014" ref="A6:C17" totalsRowShown="0">
  <x:tableColumns count="3">
    <x:tableColumn id="1" name="指标"/>
    <x:tableColumn id="2" name="公式"/>
    <x:tableColumn id="3" name="单位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Src_015" displayName="Src_015" ref="A22:H26" totalsRowShown="0">
  <x:tableColumns count="8">
    <x:tableColumn id="1" name="阶段"/>
    <x:tableColumn id="2" name="合格队伍等级"/>
    <x:tableColumn id="3" name="裸装队伍战力"/>
    <x:tableColumn id="4" name="标准配装增量"/>
    <x:tableColumn id="5" name="推荐队伍战力"/>
    <x:tableColumn id="6" name="结算后持续输出"/>
    <x:tableColumn id="7" name="普通战标准耐久"/>
    <x:tableColumn id="8" name="Boss标准耐久/目标时长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16" name="Src_016" displayName="Src_016" ref="A31:C50" totalsRowShown="0">
  <x:tableColumns count="3">
    <x:tableColumn id="1" name="状态"/>
    <x:tableColumn id="2" name="数值语义"/>
    <x:tableColumn id="3" name="叠加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Src_017" displayName="Src_017" ref="A55:F61" totalsRowShown="0">
  <x:tableColumns count="6">
    <x:tableColumn id="1" name="来源"/>
    <x:tableColumn id="2" name="地图1"/>
    <x:tableColumn id="3" name="地图2"/>
    <x:tableColumn id="4" name="地图3"/>
    <x:tableColumn id="5" name="地图4"/>
    <x:tableColumn id="6" name="合计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Src_018" displayName="Src_018" ref="A66:D70" totalsRowShown="0">
  <x:tableColumns count="4">
    <x:tableColumn id="1" name="地图"/>
    <x:tableColumn id="2" name="普通敌群魂晶"/>
    <x:tableColumn id="3" name="精英魂晶"/>
    <x:tableColumn id="4" name="重复启程刷新收益"/>
  </x:tableColumns>
  <x:tableStyleInfo name="TableStyleMedium4" showFirstColumn="0" showLastColumn="0" showRowStripes="1" showColumnStripes="0"/>
</x:table>
</file>

<file path=xl/tables/table19.xml><?xml version="1.0" encoding="utf-8"?>
<x:table xmlns:x="http://schemas.openxmlformats.org/spreadsheetml/2006/main" id="19" name="Skills_019" displayName="Skills_019" ref="A4:Q40" totalsRowShown="0">
  <x:tableColumns count="17">
    <x:tableColumn id="1" name="阶段"/>
    <x:tableColumn id="2" name="初始职业"/>
    <x:tableColumn id="3" name="路线/职业"/>
    <x:tableColumn id="4" name="技能 ID"/>
    <x:tableColumn id="5" name="技能名"/>
    <x:tableColumn id="6" name="目标"/>
    <x:tableColumn id="7" name="基础 I(tick)"/>
    <x:tableColumn id="8" name="基础 CD(tick)"/>
    <x:tableColumn id="9" name="基础 I(秒)"/>
    <x:tableColumn id="10" name="基础 CD(秒)"/>
    <x:tableColumn id="11" name="基础数值与效果"/>
    <x:tableColumn id="12" name="精通 I(tick)"/>
    <x:tableColumn id="13" name="精通 CD(tick)"/>
    <x:tableColumn id="14" name="精通 I(秒)"/>
    <x:tableColumn id="15" name="精通 CD(秒)"/>
    <x:tableColumn id="16" name="结丹精通数值与效果"/>
    <x:tableColumn id="17" name="事实源"/>
  </x:tableColumns>
  <x:tableStyleInfo name="TableStyleMedium4" showFirstColumn="0" showLastColumn="0" showRowStripes="1" showColumnStripes="0"/>
</x:table>
</file>

<file path=xl/tables/table20.xml><?xml version="1.0" encoding="utf-8"?>
<x:table xmlns:x="http://schemas.openxmlformats.org/spreadsheetml/2006/main" id="20" name="SkillBossMap_020" displayName="SkillBossMap_020" ref="A45:D51" totalsRowShown="0">
  <x:tableColumns count="4">
    <x:tableColumn id="1" name="需求"/>
    <x:tableColumn id="2" name="主解"/>
    <x:tableColumn id="3" name="替代解"/>
    <x:tableColumn id="4" name="装备容错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Quality_021" displayName="Quality_021" ref="A6:B11" totalsRowShown="0">
  <x:tableColumns count="2">
    <x:tableColumn id="1" name="品质"/>
    <x:tableColumn id="2" name="qualityMultiplier"/>
  </x:tableColumns>
  <x:tableStyleInfo name="TableStyleMedium4" showFirstColumn="0" showLastColumn="0" showRowStripes="1" showColumnStripes="0"/>
</x:table>
</file>

<file path=xl/tables/table22.xml><?xml version="1.0" encoding="utf-8"?>
<x:table xmlns:x="http://schemas.openxmlformats.org/spreadsheetml/2006/main" id="22" name="RuneBudget_022" displayName="RuneBudget_022" ref="A15:H30" totalsRowShown="0">
  <x:tableColumns count="8">
    <x:tableColumn id="1" name="蓝图阶段"/>
    <x:tableColumn id="2" name="槽位"/>
    <x:tableColumn id="3" name="基础每纹预算"/>
    <x:tableColumn id="4" name="凡品"/>
    <x:tableColumn id="5" name="精制"/>
    <x:tableColumn id="6" name="上品"/>
    <x:tableColumn id="7" name="珍品"/>
    <x:tableColumn id="8" name="法宝"/>
  </x:tableColumns>
  <x:tableStyleInfo name="TableStyleMedium4" showFirstColumn="0" showLastColumn="0" showRowStripes="1" showColumnStripes="0"/>
</x:table>
</file>

<file path=xl/tables/table23.xml><?xml version="1.0" encoding="utf-8"?>
<x:table xmlns:x="http://schemas.openxmlformats.org/spreadsheetml/2006/main" id="23" name="CraftFee_023" displayName="CraftFee_023" ref="A35:B40" totalsRowShown="0">
  <x:tableColumns count="2">
    <x:tableColumn id="1" name="品质"/>
    <x:tableColumn id="2" name="打造费（灵石）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Src_024" displayName="Src_024" ref="A45:C57" totalsRowShown="0">
  <x:tableColumns count="3">
    <x:tableColumn id="1" name="模板组"/>
    <x:tableColumn id="2" name="可用类型"/>
    <x:tableColumn id="3" name="资格与表现"/>
  </x:tableColumns>
  <x:tableStyleInfo name="TableStyleMedium4" showFirstColumn="0" showLastColumn="0" showRowStripes="1" showColumnStripes="0"/>
</x:table>
</file>

<file path=xl/tables/table25.xml><?xml version="1.0" encoding="utf-8"?>
<x:table xmlns:x="http://schemas.openxmlformats.org/spreadsheetml/2006/main" id="25" name="Src_025" displayName="Src_025" ref="A62:F67" totalsRowShown="0">
  <x:tableColumns count="6">
    <x:tableColumn id="1" name="饰品模板"/>
    <x:tableColumn id="2" name="凡品"/>
    <x:tableColumn id="3" name="精制"/>
    <x:tableColumn id="4" name="上品"/>
    <x:tableColumn id="5" name="珍品"/>
    <x:tableColumn id="6" name="法宝"/>
  </x:tableColumns>
  <x:tableStyleInfo name="TableStyleMedium4" showFirstColumn="0" showLastColumn="0" showRowStripes="1" showColumnStripes="0"/>
</x:table>
</file>

<file path=xl/tables/table26.xml><?xml version="1.0" encoding="utf-8"?>
<x:table xmlns:x="http://schemas.openxmlformats.org/spreadsheetml/2006/main" id="26" name="Src_026" displayName="Src_026" ref="A72:C77" totalsRowShown="0">
  <x:tableColumns count="3">
    <x:tableColumn id="1" name="装备类型"/>
    <x:tableColumn id="2" name="可附着器纹"/>
    <x:tableColumn id="3" name="禁止/削弱规则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Src_027" displayName="Src_027" ref="A82:C108" totalsRowShown="0">
  <x:tableColumns count="3">
    <x:tableColumn id="1" name="保留 ID"/>
    <x:tableColumn id="2" name="1.0 制式显示模板"/>
    <x:tableColumn id="3" name="类型"/>
  </x:tableColumns>
  <x:tableStyleInfo name="TableStyleMedium4" showFirstColumn="0" showLastColumn="0" showRowStripes="1" showColumnStripes="0"/>
</x:table>
</file>

<file path=xl/tables/table28.xml><?xml version="1.0" encoding="utf-8"?>
<x:table xmlns:x="http://schemas.openxmlformats.org/spreadsheetml/2006/main" id="28" name="Src_028" displayName="Src_028" ref="A113:B119" totalsRowShown="0">
  <x:tableColumns count="2">
    <x:tableColumn id="1" name="来源"/>
    <x:tableColumn id="2" name="完整装备规则"/>
  </x:tableColumns>
  <x:tableStyleInfo name="TableStyleMedium4" showFirstColumn="0" showLastColumn="0" showRowStripes="1" showColumnStripes="0"/>
</x:table>
</file>

<file path=xl/tables/table29.xml><?xml version="1.0" encoding="utf-8"?>
<x:table xmlns:x="http://schemas.openxmlformats.org/spreadsheetml/2006/main" id="29" name="Src_029" displayName="Src_029" ref="A124:G128" totalsRowShown="0">
  <x:tableColumns count="7">
    <x:tableColumn id="1" name="地图"/>
    <x:tableColumn id="2" name="凡品"/>
    <x:tableColumn id="3" name="精制"/>
    <x:tableColumn id="4" name="上品"/>
    <x:tableColumn id="5" name="珍品"/>
    <x:tableColumn id="6" name="法宝"/>
    <x:tableColumn id="7" name="古宝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Src_030" displayName="Src_030" ref="A133:D138" totalsRowShown="0">
  <x:tableColumns count="4">
    <x:tableColumn id="1" name="铁胚"/>
    <x:tableColumn id="2" name="玄铁"/>
    <x:tableColumn id="3" name="庚精"/>
    <x:tableColumn id="4" name="产出"/>
  </x:tableColumns>
  <x:tableStyleInfo name="TableStyleMedium4" showFirstColumn="0" showLastColumn="0" showRowStripes="1" showColumnStripes="0"/>
</x:table>
</file>

<file path=xl/tables/table31.xml><?xml version="1.0" encoding="utf-8"?>
<x:table xmlns:x="http://schemas.openxmlformats.org/spreadsheetml/2006/main" id="31" name="Src_031" displayName="Src_031" ref="A143:D148" totalsRowShown="0">
  <x:tableColumns count="4">
    <x:tableColumn id="1" name="品质"/>
    <x:tableColumn id="2" name="玄铁"/>
    <x:tableColumn id="3" name="庚精"/>
    <x:tableColumn id="4" name="器灵残片"/>
  </x:tableColumns>
  <x:tableStyleInfo name="TableStyleMedium4" showFirstColumn="0" showLastColumn="0" showRowStripes="1" showColumnStripes="0"/>
</x:table>
</file>

<file path=xl/tables/table32.xml><?xml version="1.0" encoding="utf-8"?>
<x:table xmlns:x="http://schemas.openxmlformats.org/spreadsheetml/2006/main" id="32" name="Src_032" displayName="Src_032" ref="A6:F11" totalsRowShown="0">
  <x:tableColumns count="6">
    <x:tableColumn id="1" name="ID/名称"/>
    <x:tableColumn id="2" name="槽位"/>
    <x:tableColumn id="3" name="每纹预算"/>
    <x:tableColumn id="4" name="固定效果"/>
    <x:tableColumn id="5" name="七维池覆盖"/>
    <x:tableColumn id="6" name="来源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Src_033" displayName="Src_033" ref="A16:F30" totalsRowShown="0">
  <x:tableColumns count="6">
    <x:tableColumn id="1" name="ID/名称"/>
    <x:tableColumn id="2" name="槽位"/>
    <x:tableColumn id="3" name="每纹预算"/>
    <x:tableColumn id="4" name="固定效果"/>
    <x:tableColumn id="5" name="七维池覆盖"/>
    <x:tableColumn id="6" name="确定来源/任务链"/>
  </x:tableColumns>
  <x:tableStyleInfo name="TableStyleMedium4" showFirstColumn="0" showLastColumn="0" showRowStripes="1" showColumnStripes="0"/>
</x:table>
</file>

<file path=xl/tables/table34.xml><?xml version="1.0" encoding="utf-8"?>
<x:table xmlns:x="http://schemas.openxmlformats.org/spreadsheetml/2006/main" id="34" name="Src_034" displayName="Src_034" ref="A35:G37" totalsRowShown="0">
  <x:tableColumns count="7">
    <x:tableColumn id="1" name="ID/名称"/>
    <x:tableColumn id="2" name="模板/槽位"/>
    <x:tableColumn id="3" name="品质"/>
    <x:tableColumn id="4" name="每纹预算"/>
    <x:tableColumn id="5" name="固定附着器纹"/>
    <x:tableColumn id="6" name="固定效果"/>
    <x:tableColumn id="7" name="直接来源"/>
  </x:tableColumns>
  <x:tableStyleInfo name="TableStyleMedium4" showFirstColumn="0" showLastColumn="0" showRowStripes="1" showColumnStripes="0"/>
</x:table>
</file>

<file path=xl/tables/table35.xml><?xml version="1.0" encoding="utf-8"?>
<x:table xmlns:x="http://schemas.openxmlformats.org/spreadsheetml/2006/main" id="35" name="Src_035" displayName="Src_035" ref="A42:F49" totalsRowShown="0">
  <x:tableColumns count="6">
    <x:tableColumn id="1" name="ID/名称"/>
    <x:tableColumn id="2" name="槽位"/>
    <x:tableColumn id="3" name="固定效果"/>
    <x:tableColumn id="4" name="固定七维（力/法/神/速/肉/护/定）"/>
    <x:tableColumn id="5" name="合计"/>
    <x:tableColumn id="6" name="直接获得条件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nemies_036" displayName="Enemies_036" ref="A4:T38" totalsRowShown="0">
  <x:tableColumns count="20">
    <x:tableColumn id="1" name="地图"/>
    <x:tableColumn id="2" name="层级"/>
    <x:tableColumn id="3" name="稳定 ID"/>
    <x:tableColumn id="4" name="名称"/>
    <x:tableColumn id="5" name="Lv"/>
    <x:tableColumn id="6" name="HP"/>
    <x:tableColumn id="7" name="力道"/>
    <x:tableColumn id="8" name="法力"/>
    <x:tableColumn id="9" name="神识"/>
    <x:tableColumn id="10" name="遁速"/>
    <x:tableColumn id="11" name="肉身"/>
    <x:tableColumn id="12" name="护体"/>
    <x:tableColumn id="13" name="定力"/>
    <x:tableColumn id="14" name="七维战力"/>
    <x:tableColumn id="15" name="首次魂晶"/>
    <x:tableColumn id="16" name="重复魂晶"/>
    <x:tableColumn id="17" name="技能/机制"/>
    <x:tableColumn id="18" name="材料/掉落"/>
    <x:tableColumn id="19" name="事实源"/>
    <x:tableColumn id="20" name="备注"/>
  </x:tableColumns>
  <x:tableStyleInfo name="TableStyleMedium4" showFirstColumn="0" showLastColumn="0" showRowStripes="1" showColumnStripes="0"/>
</x:table>
</file>

<file path=xl/tables/table37.xml><?xml version="1.0" encoding="utf-8"?>
<x:table xmlns:x="http://schemas.openxmlformats.org/spreadsheetml/2006/main" id="37" name="BossOverview_037" displayName="BossOverview_037" ref="A4:P8" totalsRowShown="0">
  <x:tableColumns count="16">
    <x:tableColumn id="1" name="地图"/>
    <x:tableColumn id="2" name="Boss"/>
    <x:tableColumn id="3" name="Lv"/>
    <x:tableColumn id="4" name="主体 HP"/>
    <x:tableColumn id="5" name="附加部件/召唤 HP"/>
    <x:tableColumn id="6" name="力"/>
    <x:tableColumn id="7" name="法"/>
    <x:tableColumn id="8" name="神"/>
    <x:tableColumn id="9" name="速"/>
    <x:tableColumn id="10" name="肉"/>
    <x:tableColumn id="11" name="护"/>
    <x:tableColumn id="12" name="定"/>
    <x:tableColumn id="13" name="七维战力"/>
    <x:tableColumn id="14" name="首杀魂晶"/>
    <x:tableColumn id="15" name="主要固定奖励"/>
    <x:tableColumn id="16" name="逃生"/>
  </x:tableColumns>
  <x:tableStyleInfo name="TableStyleMedium4" showFirstColumn="0" showLastColumn="0" showRowStripes="1" showColumnStripes="0"/>
</x:table>
</file>

<file path=xl/tables/table38.xml><?xml version="1.0" encoding="utf-8"?>
<x:table xmlns:x="http://schemas.openxmlformats.org/spreadsheetml/2006/main" id="38" name="BossSkills_038" displayName="BossSkills_038" ref="A13:H36" totalsRowShown="0">
  <x:tableColumns count="8">
    <x:tableColumn id="1" name="地图"/>
    <x:tableColumn id="2" name="Boss"/>
    <x:tableColumn id="3" name="阶段"/>
    <x:tableColumn id="4" name="技能/部件"/>
    <x:tableColumn id="5" name="I/CD"/>
    <x:tableColumn id="6" name="基础数值"/>
    <x:tableColumn id="7" name="规则"/>
    <x:tableColumn id="8" name="事实源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ForgeLevel_039" displayName="ForgeLevel_039" ref="A4:D28" totalsRowShown="0">
  <x:tableColumns count="4">
    <x:tableColumn id="1" name="坊级"/>
    <x:tableColumn id="2" name="升至本级灵木"/>
    <x:tableColumn id="3" name="累计灵木"/>
    <x:tableColumn id="4" name="解锁内容"/>
  </x:tableColumns>
  <x:tableStyleInfo name="TableStyleMedium4" showFirstColumn="0" showLastColumn="0" showRowStripes="1" showColumnStripes="0"/>
</x:table>
</file>

<file path=xl/tables/table40.xml><?xml version="1.0" encoding="utf-8"?>
<x:table xmlns:x="http://schemas.openxmlformats.org/spreadsheetml/2006/main" id="40" name="Recipes_040" displayName="Recipes_040" ref="A33:H37" totalsRowShown="0">
  <x:tableColumns count="8">
    <x:tableColumn id="1" name="配方"/>
    <x:tableColumn id="2" name="解锁坊级"/>
    <x:tableColumn id="3" name="材料A"/>
    <x:tableColumn id="4" name="数量A"/>
    <x:tableColumn id="5" name="材料B"/>
    <x:tableColumn id="6" name="数量B"/>
    <x:tableColumn id="7" name="灵石费"/>
    <x:tableColumn id="8" name="产出"/>
  </x:tableColumns>
  <x:tableStyleInfo name="TableStyleMedium4" showFirstColumn="0" showLastColumn="0" showRowStripes="1" showColumnStripes="0"/>
</x:table>
</file>

<file path=xl/tables/table41.xml><?xml version="1.0" encoding="utf-8"?>
<x:table xmlns:x="http://schemas.openxmlformats.org/spreadsheetml/2006/main" id="41" name="Src_041" displayName="Src_041" ref="A42:C46" totalsRowShown="0">
  <x:tableColumns count="3">
    <x:tableColumn id="1" name="阶段"/>
    <x:tableColumn id="2" name="灵木"/>
    <x:tableColumn id="3" name="完成后每次入山休整上限"/>
  </x:tableColumns>
  <x:tableStyleInfo name="TableStyleMedium4" showFirstColumn="0" showLastColumn="0" showRowStripes="1" showColumnStripes="0"/>
</x:table>
</file>

<file path=xl/tables/table42.xml><?xml version="1.0" encoding="utf-8"?>
<x:table xmlns:x="http://schemas.openxmlformats.org/spreadsheetml/2006/main" id="42" name="Src_042" displayName="Src_042" ref="A51:D55" totalsRowShown="0">
  <x:tableColumns count="4">
    <x:tableColumn id="1" name="阶段"/>
    <x:tableColumn id="2" name="照影石"/>
    <x:tableColumn id="3" name="庚精"/>
    <x:tableColumn id="4" name="完成后探查半径"/>
  </x:tableColumns>
  <x:tableStyleInfo name="TableStyleMedium4" showFirstColumn="0" showLastColumn="0" showRowStripes="1" showColumnStripes="0"/>
</x:table>
</file>

<file path=xl/tables/table43.xml><?xml version="1.0" encoding="utf-8"?>
<x:table xmlns:x="http://schemas.openxmlformats.org/spreadsheetml/2006/main" id="43" name="ResourcePackages_043" displayName="ResourcePackages_043" ref="A6:G26" totalsRowShown="0">
  <x:tableColumns count="7">
    <x:tableColumn id="1" name="资源"/>
    <x:tableColumn id="2" name="档位"/>
    <x:tableColumn id="3" name="稳定 ID"/>
    <x:tableColumn id="4" name="开包产量"/>
    <x:tableColumn id="5" name="每 ID 上限"/>
    <x:tableColumn id="6" name="是否受灵圃容量"/>
    <x:tableColumn id="7" name="事实源"/>
  </x:tableColumns>
  <x:tableStyleInfo name="TableStyleMedium4" showFirstColumn="0" showLastColumn="0" showRowStripes="1" showColumnStripes="0"/>
</x:table>
</file>

<file path=xl/tables/table44.xml><?xml version="1.0" encoding="utf-8"?>
<x:table xmlns:x="http://schemas.openxmlformats.org/spreadsheetml/2006/main" id="44" name="Src_044" displayName="Src_044" ref="A31:D38" totalsRowShown="0">
  <x:tableColumns count="4">
    <x:tableColumn id="1" name="层级"/>
    <x:tableColumn id="2" name="1.0内容"/>
    <x:tableColumn id="3" name="存放与上限"/>
    <x:tableColumn id="4" name="交易行关系"/>
  </x:tableColumns>
  <x:tableStyleInfo name="TableStyleMedium4" showFirstColumn="0" showLastColumn="0" showRowStripes="1" showColumnStripes="0"/>
</x:table>
</file>

<file path=xl/tables/table45.xml><?xml version="1.0" encoding="utf-8"?>
<x:table xmlns:x="http://schemas.openxmlformats.org/spreadsheetml/2006/main" id="45" name="Src_045" displayName="Src_045" ref="A43:D45" totalsRowShown="0">
  <x:tableColumns count="4">
    <x:tableColumn id="1" name="名称"/>
    <x:tableColumn id="2" name="主要来源"/>
    <x:tableColumn id="3" name="1.0主要消耗"/>
    <x:tableColumn id="4" name="明确不承担的职责"/>
  </x:tableColumns>
  <x:tableStyleInfo name="TableStyleMedium4" showFirstColumn="0" showLastColumn="0" showRowStripes="1" showColumnStripes="0"/>
</x:table>
</file>

<file path=xl/tables/table46.xml><?xml version="1.0" encoding="utf-8"?>
<x:table xmlns:x="http://schemas.openxmlformats.org/spreadsheetml/2006/main" id="46" name="Src_046" displayName="Src_046" ref="A50:E55" totalsRowShown="0">
  <x:tableColumns count="5">
    <x:tableColumn id="1" name="材料"/>
    <x:tableColumn id="2" name="首次主要出现"/>
    <x:tableColumn id="3" name="主要来源"/>
    <x:tableColumn id="4" name="主要用途"/>
    <x:tableColumn id="5" name="保护与交易"/>
  </x:tableColumns>
  <x:tableStyleInfo name="TableStyleMedium4" showFirstColumn="0" showLastColumn="0" showRowStripes="1" showColumnStripes="0"/>
</x:table>
</file>

<file path=xl/tables/table47.xml><?xml version="1.0" encoding="utf-8"?>
<x:table xmlns:x="http://schemas.openxmlformats.org/spreadsheetml/2006/main" id="47" name="Src_047" displayName="Src_047" ref="A60:C70" totalsRowShown="0">
  <x:tableColumns count="3">
    <x:tableColumn id="1" name="加工品"/>
    <x:tableColumn id="2" name="材料关系"/>
    <x:tableColumn id="3" name="规则边界"/>
  </x:tableColumns>
  <x:tableStyleInfo name="TableStyleMedium4" showFirstColumn="0" showLastColumn="0" showRowStripes="1" showColumnStripes="0"/>
</x:table>
</file>

<file path=xl/tables/table48.xml><?xml version="1.0" encoding="utf-8"?>
<x:table xmlns:x="http://schemas.openxmlformats.org/spreadsheetml/2006/main" id="48" name="Src_048" displayName="Src_048" ref="A75:C79" totalsRowShown="0">
  <x:tableColumns count="3">
    <x:tableColumn id="1" name="包装档位"/>
    <x:tableColumn id="2" name="定位"/>
    <x:tableColumn id="3" name="典型来源"/>
  </x:tableColumns>
  <x:tableStyleInfo name="TableStyleMedium4" showFirstColumn="0" showLastColumn="0" showRowStripes="1" showColumnStripes="0"/>
</x:table>
</file>

<file path=xl/tables/table49.xml><?xml version="1.0" encoding="utf-8"?>
<x:table xmlns:x="http://schemas.openxmlformats.org/spreadsheetml/2006/main" id="49" name="Src_049" displayName="Src_049" ref="A84:E88" totalsRowShown="0">
  <x:tableColumns count="5">
    <x:tableColumn id="1" name="食物示例"/>
    <x:tableColumn id="2" name="叙事来源"/>
    <x:tableColumn id="3" name="grainYield"/>
    <x:tableColumn id="4" name="负重"/>
    <x:tableColumn id="5" name="每ID持有上限"/>
  </x:tableColumns>
  <x:tableStyleInfo name="TableStyleMedium4" showFirstColumn="0" showLastColumn="0" showRowStripes="1" showColumnStripes="0"/>
</x:table>
</file>

<file path=xl/tables/table50.xml><?xml version="1.0" encoding="utf-8"?>
<x:table xmlns:x="http://schemas.openxmlformats.org/spreadsheetml/2006/main" id="50" name="Src_050" displayName="Src_050" ref="A93:C97" totalsRowShown="0">
  <x:tableColumns count="3">
    <x:tableColumn id="1" name="地图"/>
    <x:tableColumn id="2" name="主材料职责"/>
    <x:tableColumn id="3" name="不应承担的职责"/>
  </x:tableColumns>
  <x:tableStyleInfo name="TableStyleMedium4" showFirstColumn="0" showLastColumn="0" showRowStripes="1" showColumnStripes="0"/>
</x:table>
</file>

<file path=xl/tables/table51.xml><?xml version="1.0" encoding="utf-8"?>
<x:table xmlns:x="http://schemas.openxmlformats.org/spreadsheetml/2006/main" id="51" name="Src_051" displayName="Src_051" ref="A102:D113" totalsRowShown="0">
  <x:tableColumns count="4">
    <x:tableColumn id="1" name="地图"/>
    <x:tableColumn id="2" name="资源点原型"/>
    <x:tableColumn id="3" name="首次产量"/>
    <x:tableColumn id="4" name="重复产量"/>
  </x:tableColumns>
  <x:tableStyleInfo name="TableStyleMedium4" showFirstColumn="0" showLastColumn="0" showRowStripes="1" showColumnStripes="0"/>
</x:table>
</file>

<file path=xl/tables/table52.xml><?xml version="1.0" encoding="utf-8"?>
<x:table xmlns:x="http://schemas.openxmlformats.org/spreadsheetml/2006/main" id="52" name="Src_052" displayName="Src_052" ref="A118:D125" totalsRowShown="0">
  <x:tableColumns count="4">
    <x:tableColumn id="1" name="地图"/>
    <x:tableColumn id="2" name="材料点原型"/>
    <x:tableColumn id="3" name="首次产量"/>
    <x:tableColumn id="4" name="重复产量"/>
  </x:tableColumns>
  <x:tableStyleInfo name="TableStyleMedium4" showFirstColumn="0" showLastColumn="0" showRowStripes="1" showColumnStripes="0"/>
</x:table>
</file>

<file path=xl/tables/table53.xml><?xml version="1.0" encoding="utf-8"?>
<x:table xmlns:x="http://schemas.openxmlformats.org/spreadsheetml/2006/main" id="53" name="RefreshFee_053" displayName="RefreshFee_053" ref="A6:D10" totalsRowShown="0">
  <x:tableColumns count="4">
    <x:tableColumn id="1" name="最高地图"/>
    <x:tableColumn id="2" name="地图序号"/>
    <x:tableColumn id="3" name="手动刷新费"/>
    <x:tableColumn id="4" name="自然刷新"/>
  </x:tableColumns>
  <x:tableStyleInfo name="TableStyleMedium4" showFirstColumn="0" showLastColumn="0" showRowStripes="1" showColumnStripes="0"/>
</x:table>
</file>

<file path=xl/tables/table54.xml><?xml version="1.0" encoding="utf-8"?>
<x:table xmlns:x="http://schemas.openxmlformats.org/spreadsheetml/2006/main" id="54" name="StonePackCheck_054" displayName="StonePackCheck_054" ref="A13:F17" totalsRowShown="0">
  <x:tableColumns count="6">
    <x:tableColumn id="1" name="档位"/>
    <x:tableColumn id="2" name="开包灵石"/>
    <x:tableColumn id="3" name="购买价"/>
    <x:tableColumn id="4" name="单包净值"/>
    <x:tableColumn id="5" name="最低刷新费"/>
    <x:tableColumn id="6" name="状态"/>
  </x:tableColumns>
  <x:tableStyleInfo name="TableStyleMedium4" showFirstColumn="0" showLastColumn="0" showRowStripes="1" showColumnStripes="0"/>
</x:table>
</file>

<file path=xl/tables/table55.xml><?xml version="1.0" encoding="utf-8"?>
<x:table xmlns:x="http://schemas.openxmlformats.org/spreadsheetml/2006/main" id="55" name="ReviveCost_055" displayName="ReviveCost_055" ref="A22:F52" totalsRowShown="0">
  <x:tableColumns count="6">
    <x:tableColumn id="1" name="等级"/>
    <x:tableColumn id="2" name="境界"/>
    <x:tableColumn id="3" name="原始费用"/>
    <x:tableColumn id="4" name="还魂费用"/>
    <x:tableColumn id="5" name="公式口径"/>
    <x:tableColumn id="6" name="事实源"/>
  </x:tableColumns>
  <x:tableStyleInfo name="TableStyleMedium4" showFirstColumn="0" showLastColumn="0" showRowStripes="1" showColumnStripes="0"/>
</x:table>
</file>

<file path=xl/tables/table56.xml><?xml version="1.0" encoding="utf-8"?>
<x:table xmlns:x="http://schemas.openxmlformats.org/spreadsheetml/2006/main" id="56" name="Src_056" displayName="Src_056" ref="A57:C61" totalsRowShown="0">
  <x:tableColumns count="3">
    <x:tableColumn id="1" name="常备商品"/>
    <x:tableColumn id="2" name="单价（灵石）"/>
    <x:tableColumn id="3" name="每批库存"/>
  </x:tableColumns>
  <x:tableStyleInfo name="TableStyleMedium4" showFirstColumn="0" showLastColumn="0" showRowStripes="1" showColumnStripes="0"/>
</x:table>
</file>

<file path=xl/tables/table57.xml><?xml version="1.0" encoding="utf-8"?>
<x:table xmlns:x="http://schemas.openxmlformats.org/spreadsheetml/2006/main" id="57" name="Src_057" displayName="Src_057" ref="A66:D72" totalsRowShown="0">
  <x:tableColumns count="4">
    <x:tableColumn id="1" name="大类"/>
    <x:tableColumn id="2" name="权重"/>
    <x:tableColumn id="3" name="单格库存"/>
    <x:tableColumn id="4" name="价格"/>
  </x:tableColumns>
  <x:tableStyleInfo name="TableStyleMedium4" showFirstColumn="0" showLastColumn="0" showRowStripes="1" showColumnStripes="0"/>
</x:table>
</file>

<file path=xl/tables/table58.xml><?xml version="1.0" encoding="utf-8"?>
<x:table xmlns:x="http://schemas.openxmlformats.org/spreadsheetml/2006/main" id="58" name="Src_058" displayName="Src_058" ref="A77:E82" totalsRowShown="0">
  <x:tableColumns count="5">
    <x:tableColumn id="1" name="资源包"/>
    <x:tableColumn id="2" name="下品"/>
    <x:tableColumn id="3" name="上品"/>
    <x:tableColumn id="4" name="特级"/>
    <x:tableColumn id="5" name="仙品"/>
  </x:tableColumns>
  <x:tableStyleInfo name="TableStyleMedium4" showFirstColumn="0" showLastColumn="0" showRowStripes="1" showColumnStripes="0"/>
</x:table>
</file>

<file path=xl/tables/table59.xml><?xml version="1.0" encoding="utf-8"?>
<x:table xmlns:x="http://schemas.openxmlformats.org/spreadsheetml/2006/main" id="59" name="Src_059" displayName="Src_059" ref="A87:D92" totalsRowShown="0">
  <x:tableColumns count="4">
    <x:tableColumn id="1" name="单名杂役岗位"/>
    <x:tableColumn id="2" name="每30分钟产出"/>
    <x:tableColumn id="3" name="每30分钟灵粮维护"/>
    <x:tableColumn id="4" name="开放条件"/>
  </x:tableColumns>
  <x:tableStyleInfo name="TableStyleMedium4" showFirstColumn="0" showLastColumn="0" showRowStripes="1" showColumnStripes="0"/>
</x:table>
</file>

<file path=xl/tables/table60.xml><?xml version="1.0" encoding="utf-8"?>
<x:table xmlns:x="http://schemas.openxmlformats.org/spreadsheetml/2006/main" id="60" name="Src_060" displayName="Src_060" ref="A97:F102" totalsRowShown="0">
  <x:tableColumns count="6">
    <x:tableColumn id="1" name="储量等级"/>
    <x:tableColumn id="2" name="灵粮容量/升级木"/>
    <x:tableColumn id="3" name="灵木容量/升级木"/>
    <x:tableColumn id="4" name="玄铁容量/升级木"/>
    <x:tableColumn id="5" name="灵晶容量/升级木"/>
    <x:tableColumn id="6" name="庚精容量/升级木"/>
  </x:tableColumns>
  <x:tableStyleInfo name="TableStyleMedium4" showFirstColumn="0" showLastColumn="0" showRowStripes="1" showColumnStripes="0"/>
</x:table>
</file>

<file path=xl/tables/table61.xml><?xml version="1.0" encoding="utf-8"?>
<x:table xmlns:x="http://schemas.openxmlformats.org/spreadsheetml/2006/main" id="61" name="DungeonYield_061" displayName="DungeonYield_061" ref="A4:L10" totalsRowShown="0">
  <x:tableColumns count="12">
    <x:tableColumn id="1" name="副本"/>
    <x:tableColumn id="2" name="难度"/>
    <x:tableColumn id="3" name="永久解锁"/>
    <x:tableColumn id="4" name="推荐战力"/>
    <x:tableColumn id="5" name="平均分钟"/>
    <x:tableColumn id="6" name="货币"/>
    <x:tableColumn id="7" name="保底数量"/>
    <x:tableColumn id="8" name="回算效率/分钟"/>
    <x:tableColumn id="9" name="与展示值差"/>
    <x:tableColumn id="10" name="附加奖励"/>
    <x:tableColumn id="11" name="装备概率"/>
    <x:tableColumn id="12" name="事实源"/>
  </x:tableColumns>
  <x:tableStyleInfo name="TableStyleMedium4" showFirstColumn="0" showLastColumn="0" showRowStripes="1" showColumnStripes="0"/>
</x:table>
</file>

<file path=xl/tables/table62.xml><?xml version="1.0" encoding="utf-8"?>
<x:table xmlns:x="http://schemas.openxmlformats.org/spreadsheetml/2006/main" id="62" name="Src_062" displayName="Src_062" ref="A15:E18" totalsRowShown="0">
  <x:tableColumns count="5">
    <x:tableColumn id="1" name="难度"/>
    <x:tableColumn id="2" name="凡品"/>
    <x:tableColumn id="3" name="精制"/>
    <x:tableColumn id="4" name="上品"/>
    <x:tableColumn id="5" name="模板范围"/>
  </x:tableColumns>
  <x:tableStyleInfo name="TableStyleMedium4" showFirstColumn="0" showLastColumn="0" showRowStripes="1" showColumnStripes="0"/>
</x:table>
</file>

<file path=xl/tables/table63.xml><?xml version="1.0" encoding="utf-8"?>
<x:table xmlns:x="http://schemas.openxmlformats.org/spreadsheetml/2006/main" id="63" name="Src_063" displayName="Src_063" ref="A23:B29" totalsRowShown="0">
  <x:tableColumns count="2">
    <x:tableColumn id="1" name="难度"/>
    <x:tableColumn id="2" name="一次性首通奖励"/>
  </x:tableColumns>
  <x:tableStyleInfo name="TableStyleMedium4" showFirstColumn="0" showLastColumn="0" showRowStripes="1" showColumnStripes="0"/>
</x:table>
</file>

<file path=xl/tables/table64.xml><?xml version="1.0" encoding="utf-8"?>
<x:table xmlns:x="http://schemas.openxmlformats.org/spreadsheetml/2006/main" id="64" name="Src_064" displayName="Src_064" ref="A34:D40" totalsRowShown="0">
  <x:tableColumns count="4">
    <x:tableColumn id="1" name="难度"/>
    <x:tableColumn id="2" name="第一战"/>
    <x:tableColumn id="3" name="第二战"/>
    <x:tableColumn id="4" name="机制首领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fdeee7a84440b5" /><Relationship Type="http://schemas.openxmlformats.org/officeDocument/2006/relationships/table" Target="/xl/tables/table2.xml" Id="R0cf4662de08848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efaf29014f44a2f" /><Relationship Type="http://schemas.openxmlformats.org/officeDocument/2006/relationships/table" Target="/xl/tables/table4.xml" Id="R8158c5bb798646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7889d645c3f14f2c" /><Relationship Type="http://schemas.openxmlformats.org/officeDocument/2006/relationships/table" Target="/xl/tables/table6.xml" Id="Red107e12b25744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83967a0cf13e4b45" /><Relationship Type="http://schemas.openxmlformats.org/officeDocument/2006/relationships/table" Target="/xl/tables/table8.xml" Id="R9aac388521294349" /><Relationship Type="http://schemas.openxmlformats.org/officeDocument/2006/relationships/table" Target="/xl/tables/table9.xml" Id="R3e0c5cf1025941c7" /><Relationship Type="http://schemas.openxmlformats.org/officeDocument/2006/relationships/table" Target="/xl/tables/table10.xml" Id="R6c06f5e11d6c4604" /><Relationship Type="http://schemas.openxmlformats.org/officeDocument/2006/relationships/table" Target="/xl/tables/table11.xml" Id="R00677b76281c4983" /><Relationship Type="http://schemas.openxmlformats.org/officeDocument/2006/relationships/table" Target="/xl/tables/table12.xml" Id="Rf70bafec73ee4f7d" /><Relationship Type="http://schemas.openxmlformats.org/officeDocument/2006/relationships/table" Target="/xl/tables/table13.xml" Id="Rac782a7f4f9c4f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4.xml" Id="R5d226cd442214f51" /><Relationship Type="http://schemas.openxmlformats.org/officeDocument/2006/relationships/table" Target="/xl/tables/table15.xml" Id="R1429b200d27d4ae9" /><Relationship Type="http://schemas.openxmlformats.org/officeDocument/2006/relationships/table" Target="/xl/tables/table16.xml" Id="Ra503afd4a8674a77" /><Relationship Type="http://schemas.openxmlformats.org/officeDocument/2006/relationships/table" Target="/xl/tables/table17.xml" Id="R393bd2bc893c4e71" /><Relationship Type="http://schemas.openxmlformats.org/officeDocument/2006/relationships/table" Target="/xl/tables/table18.xml" Id="Rb57aee0afefd4a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9.xml" Id="Rcdcef1e8b07e4d3e" /><Relationship Type="http://schemas.openxmlformats.org/officeDocument/2006/relationships/table" Target="/xl/tables/table20.xml" Id="Rd8334445e7d640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1.xml" Id="R1fc8c1c4acbc4f5b" /><Relationship Type="http://schemas.openxmlformats.org/officeDocument/2006/relationships/table" Target="/xl/tables/table22.xml" Id="Rb06605eae78647c9" /><Relationship Type="http://schemas.openxmlformats.org/officeDocument/2006/relationships/table" Target="/xl/tables/table23.xml" Id="R8617a29a23b7475f" /><Relationship Type="http://schemas.openxmlformats.org/officeDocument/2006/relationships/table" Target="/xl/tables/table24.xml" Id="Racab5a981c0b4362" /><Relationship Type="http://schemas.openxmlformats.org/officeDocument/2006/relationships/table" Target="/xl/tables/table25.xml" Id="R3e6391741adf4b11" /><Relationship Type="http://schemas.openxmlformats.org/officeDocument/2006/relationships/table" Target="/xl/tables/table26.xml" Id="Re43b3a3673be48e3" /><Relationship Type="http://schemas.openxmlformats.org/officeDocument/2006/relationships/table" Target="/xl/tables/table27.xml" Id="R9a67371dfc4a4529" /><Relationship Type="http://schemas.openxmlformats.org/officeDocument/2006/relationships/table" Target="/xl/tables/table28.xml" Id="R0c3dfaa8bf1d4af3" /><Relationship Type="http://schemas.openxmlformats.org/officeDocument/2006/relationships/table" Target="/xl/tables/table29.xml" Id="Rd3054b480a2748ef" /><Relationship Type="http://schemas.openxmlformats.org/officeDocument/2006/relationships/table" Target="/xl/tables/table30.xml" Id="R05255d40a78f43f2" /><Relationship Type="http://schemas.openxmlformats.org/officeDocument/2006/relationships/table" Target="/xl/tables/table31.xml" Id="R52ac5f78911e40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2.xml" Id="Rdaa1d0909a974ffb" /><Relationship Type="http://schemas.openxmlformats.org/officeDocument/2006/relationships/table" Target="/xl/tables/table33.xml" Id="Rbf56510a47f94fa6" /><Relationship Type="http://schemas.openxmlformats.org/officeDocument/2006/relationships/table" Target="/xl/tables/table34.xml" Id="R4e836e7b7a5341e3" /><Relationship Type="http://schemas.openxmlformats.org/officeDocument/2006/relationships/table" Target="/xl/tables/table35.xml" Id="R8e33a68060484c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6.xml" Id="R55d15e335ede44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7.xml" Id="R8f378448ab514835" /><Relationship Type="http://schemas.openxmlformats.org/officeDocument/2006/relationships/table" Target="/xl/tables/table38.xml" Id="R1b434a28560c43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9.xml" Id="Rcf53e71491324374" /><Relationship Type="http://schemas.openxmlformats.org/officeDocument/2006/relationships/table" Target="/xl/tables/table40.xml" Id="R0051753a6ff441db" /><Relationship Type="http://schemas.openxmlformats.org/officeDocument/2006/relationships/table" Target="/xl/tables/table41.xml" Id="R260b05414dfc4129" /><Relationship Type="http://schemas.openxmlformats.org/officeDocument/2006/relationships/table" Target="/xl/tables/table42.xml" Id="Re0f994cea13447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3.xml" Id="Ra1b11f7f14b64edd" /><Relationship Type="http://schemas.openxmlformats.org/officeDocument/2006/relationships/table" Target="/xl/tables/table44.xml" Id="Rf477105709e24d81" /><Relationship Type="http://schemas.openxmlformats.org/officeDocument/2006/relationships/table" Target="/xl/tables/table45.xml" Id="Rd83aa680bec94c3b" /><Relationship Type="http://schemas.openxmlformats.org/officeDocument/2006/relationships/table" Target="/xl/tables/table46.xml" Id="Rea8740d2519349c9" /><Relationship Type="http://schemas.openxmlformats.org/officeDocument/2006/relationships/table" Target="/xl/tables/table47.xml" Id="R99f2d6f29e934da4" /><Relationship Type="http://schemas.openxmlformats.org/officeDocument/2006/relationships/table" Target="/xl/tables/table48.xml" Id="Rfd3db7b534ef4eb3" /><Relationship Type="http://schemas.openxmlformats.org/officeDocument/2006/relationships/table" Target="/xl/tables/table49.xml" Id="Rf48f2c11a5314cbc" /><Relationship Type="http://schemas.openxmlformats.org/officeDocument/2006/relationships/table" Target="/xl/tables/table50.xml" Id="R0e15b7f133fc4cac" /><Relationship Type="http://schemas.openxmlformats.org/officeDocument/2006/relationships/table" Target="/xl/tables/table51.xml" Id="R5206f3b3694d43d5" /><Relationship Type="http://schemas.openxmlformats.org/officeDocument/2006/relationships/table" Target="/xl/tables/table52.xml" Id="R91cb3d0b0773453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3.xml" Id="Refa407fadd2b4b30" /><Relationship Type="http://schemas.openxmlformats.org/officeDocument/2006/relationships/table" Target="/xl/tables/table54.xml" Id="R6821f59b1e514e71" /><Relationship Type="http://schemas.openxmlformats.org/officeDocument/2006/relationships/table" Target="/xl/tables/table55.xml" Id="Red6bf9a95c7c4d08" /><Relationship Type="http://schemas.openxmlformats.org/officeDocument/2006/relationships/table" Target="/xl/tables/table56.xml" Id="R30c48b9438f34871" /><Relationship Type="http://schemas.openxmlformats.org/officeDocument/2006/relationships/table" Target="/xl/tables/table57.xml" Id="R82c124869beb4377" /><Relationship Type="http://schemas.openxmlformats.org/officeDocument/2006/relationships/table" Target="/xl/tables/table58.xml" Id="Rf849a2a979b54c23" /><Relationship Type="http://schemas.openxmlformats.org/officeDocument/2006/relationships/table" Target="/xl/tables/table59.xml" Id="Rb4d839fffd824650" /><Relationship Type="http://schemas.openxmlformats.org/officeDocument/2006/relationships/table" Target="/xl/tables/table60.xml" Id="R12dee83d8af24f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1.xml" Id="Rd1d3c368aad54cfc" /><Relationship Type="http://schemas.openxmlformats.org/officeDocument/2006/relationships/table" Target="/xl/tables/table62.xml" Id="R033eb75a5e4e4669" /><Relationship Type="http://schemas.openxmlformats.org/officeDocument/2006/relationships/table" Target="/xl/tables/table63.xml" Id="R3bd7410a16624788" /><Relationship Type="http://schemas.openxmlformats.org/officeDocument/2006/relationships/table" Target="/xl/tables/table64.xml" Id="R5a0ea6cd99b149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38" customWidth="1"/>
    <x:col min="3" max="3" width="46" customWidth="1"/>
    <x:col min="4" max="4" width="68" customWidth="1"/>
    <x:col min="5" max="6" width="14" customWidth="1"/>
  </x:cols>
  <x:sheetData>
    <x:row r="1" ht="30" customHeight="1">
      <x:c r="A1" s="1" t="s">
        <x:v>0</x:v>
      </x:c>
      <x:c r="B1" s="1"/>
      <x:c r="C1" s="1"/>
      <x:c r="D1" s="1"/>
      <x:c r="E1" s="1"/>
      <x:c r="F1" s="1"/>
    </x:row>
    <x:row r="2" ht="30" customHeight="1">
      <x:c r="A2" s="2" t="s">
        <x:v>1</x:v>
      </x:c>
      <x:c r="B2" s="2"/>
      <x:c r="C2" s="2"/>
      <x:c r="D2" s="2"/>
      <x:c r="E2" s="2"/>
      <x:c r="F2" s="2"/>
    </x:row>
    <x:row r="4" ht="22" customHeight="1">
      <x:c r="A4" s="5" t="s">
        <x:v>2</x:v>
      </x:c>
      <x:c r="B4" s="5"/>
      <x:c r="C4" s="5"/>
      <x:c r="D4" s="5"/>
      <x:c r="E4" s="5"/>
      <x:c r="F4" s="5"/>
    </x:row>
    <x:row r="5">
      <x:c r="A5" s="6" t="s">
        <x:v>3</x:v>
      </x:c>
      <x:c r="B5" s="6"/>
      <x:c r="C5" s="6"/>
      <x:c r="D5" s="6"/>
      <x:c r="E5" s="6"/>
      <x:c r="F5" s="6"/>
    </x:row>
    <x:row r="6" ht="17">
      <x:c r="A6" s="3" t="s">
        <x:v>4</x:v>
      </x:c>
      <x:c r="B6" s="3" t="s">
        <x:v>5</x:v>
      </x:c>
      <x:c r="C6" s="3" t="s">
        <x:v>6</x:v>
      </x:c>
    </x:row>
    <x:row r="7" ht="17">
      <x:c r="A7" s="7" t="s">
        <x:v>7</x:v>
      </x:c>
      <x:c r="B7" s="7" t="s">
        <x:v>8</x:v>
      </x:c>
      <x:c r="C7" s="7" t="s">
        <x:v>9</x:v>
      </x:c>
    </x:row>
    <x:row r="8" ht="17">
      <x:c r="A8" s="10" t="s">
        <x:v>10</x:v>
      </x:c>
      <x:c r="B8" s="10" t="s">
        <x:v>11</x:v>
      </x:c>
      <x:c r="C8" s="10" t="s">
        <x:v>12</x:v>
      </x:c>
    </x:row>
    <x:row r="9" ht="17">
      <x:c r="A9" s="10" t="s">
        <x:v>13</x:v>
      </x:c>
      <x:c r="B9" s="10" t="s">
        <x:v>14</x:v>
      </x:c>
      <x:c r="C9" s="10" t="s">
        <x:v>15</x:v>
      </x:c>
    </x:row>
    <x:row r="10" ht="17">
      <x:c r="A10" s="10" t="s">
        <x:v>16</x:v>
      </x:c>
      <x:c r="B10" s="10" t="s">
        <x:v>17</x:v>
      </x:c>
      <x:c r="C10" s="10" t="s">
        <x:v>18</x:v>
      </x:c>
    </x:row>
    <x:row r="11" ht="17">
      <x:c r="A11" s="10" t="s">
        <x:v>19</x:v>
      </x:c>
      <x:c r="B11" s="10" t="s">
        <x:v>20</x:v>
      </x:c>
      <x:c r="C11" s="10" t="s">
        <x:v>21</x:v>
      </x:c>
    </x:row>
    <x:row r="12" ht="17">
      <x:c r="A12" s="10" t="s">
        <x:v>22</x:v>
      </x:c>
      <x:c r="B12" s="10" t="s">
        <x:v>23</x:v>
      </x:c>
      <x:c r="C12" s="10" t="s">
        <x:v>24</x:v>
      </x:c>
    </x:row>
    <x:row r="13" ht="17">
      <x:c r="A13" s="10" t="s">
        <x:v>25</x:v>
      </x:c>
      <x:c r="B13" s="10" t="s">
        <x:v>26</x:v>
      </x:c>
      <x:c r="C13" s="10" t="s">
        <x:v>27</x:v>
      </x:c>
    </x:row>
    <x:row r="14" ht="17">
      <x:c r="A14" s="10" t="s">
        <x:v>28</x:v>
      </x:c>
      <x:c r="B14" s="10" t="s">
        <x:v>29</x:v>
      </x:c>
      <x:c r="C14" s="10" t="s">
        <x:v>30</x:v>
      </x:c>
    </x:row>
    <x:row r="15" ht="17">
      <x:c r="A15" s="10" t="s">
        <x:v>31</x:v>
      </x:c>
      <x:c r="B15" s="10" t="s">
        <x:v>32</x:v>
      </x:c>
      <x:c r="C15" s="10" t="s">
        <x:v>33</x:v>
      </x:c>
    </x:row>
    <x:row r="16" ht="17">
      <x:c r="A16" s="10" t="s">
        <x:v>34</x:v>
      </x:c>
      <x:c r="B16" s="10" t="s">
        <x:v>35</x:v>
      </x:c>
      <x:c r="C16" s="10" t="s">
        <x:v>36</x:v>
      </x:c>
    </x:row>
    <x:row r="17" ht="17">
      <x:c r="A17" s="10" t="s">
        <x:v>37</x:v>
      </x:c>
      <x:c r="B17" s="10" t="s">
        <x:v>38</x:v>
      </x:c>
      <x:c r="C17" s="10" t="s">
        <x:v>39</x:v>
      </x:c>
    </x:row>
    <x:row r="18" ht="17">
      <x:c r="A18" s="10" t="s">
        <x:v>40</x:v>
      </x:c>
      <x:c r="B18" s="10" t="s">
        <x:v>41</x:v>
      </x:c>
      <x:c r="C18" s="10" t="s">
        <x:v>42</x:v>
      </x:c>
    </x:row>
    <x:row r="19" ht="17">
      <x:c r="A19" s="10" t="s">
        <x:v>43</x:v>
      </x:c>
      <x:c r="B19" s="10" t="s">
        <x:v>44</x:v>
      </x:c>
      <x:c r="C19" s="10" t="s">
        <x:v>45</x:v>
      </x:c>
    </x:row>
    <x:row r="22" ht="22" customHeight="1">
      <x:c r="A22" s="5" t="s">
        <x:v>46</x:v>
      </x:c>
      <x:c r="B22" s="5"/>
      <x:c r="C22" s="5"/>
      <x:c r="D22" s="5"/>
      <x:c r="E22" s="5"/>
      <x:c r="F22" s="5"/>
    </x:row>
    <x:row r="23">
      <x:c r="A23" s="6" t="s">
        <x:v>47</x:v>
      </x:c>
      <x:c r="B23" s="6"/>
      <x:c r="C23" s="6"/>
      <x:c r="D23" s="6"/>
      <x:c r="E23" s="6"/>
      <x:c r="F23" s="6"/>
    </x:row>
    <x:row r="24" ht="17">
      <x:c r="A24" s="3" t="s">
        <x:v>48</x:v>
      </x:c>
      <x:c r="B24" s="3" t="s">
        <x:v>49</x:v>
      </x:c>
      <x:c r="C24" s="3" t="s">
        <x:v>50</x:v>
      </x:c>
      <x:c r="D24" s="3" t="s">
        <x:v>51</x:v>
      </x:c>
    </x:row>
    <x:row r="25" ht="34">
      <x:c r="A25" s="7" t="s">
        <x:v>52</x:v>
      </x:c>
      <x:c r="B25" s="7" t="s">
        <x:v>53</x:v>
      </x:c>
      <x:c r="C25" s="7" t="s">
        <x:v>54</x:v>
      </x:c>
      <x:c r="D25" s="7" t="s">
        <x:v>55</x:v>
      </x:c>
    </x:row>
    <x:row r="26" ht="17">
      <x:c r="A26" s="10" t="s">
        <x:v>56</x:v>
      </x:c>
      <x:c r="B26" s="10" t="s">
        <x:v>57</x:v>
      </x:c>
      <x:c r="C26" s="10" t="s">
        <x:v>58</x:v>
      </x:c>
      <x:c r="D26" s="10" t="s">
        <x:v>59</x:v>
      </x:c>
    </x:row>
    <x:row r="27" ht="34">
      <x:c r="A27" s="10" t="s">
        <x:v>60</x:v>
      </x:c>
      <x:c r="B27" s="10" t="s">
        <x:v>53</x:v>
      </x:c>
      <x:c r="C27" s="10" t="s">
        <x:v>54</x:v>
      </x:c>
      <x:c r="D27" s="10" t="s">
        <x:v>61</x:v>
      </x:c>
    </x:row>
    <x:row r="28" ht="34">
      <x:c r="A28" s="10" t="s">
        <x:v>62</x:v>
      </x:c>
      <x:c r="B28" s="10" t="s">
        <x:v>53</x:v>
      </x:c>
      <x:c r="C28" s="10" t="s">
        <x:v>58</x:v>
      </x:c>
      <x:c r="D28" s="10" t="s">
        <x:v>63</x:v>
      </x:c>
    </x:row>
    <x:row r="29" ht="34">
      <x:c r="A29" s="10" t="s">
        <x:v>64</x:v>
      </x:c>
      <x:c r="B29" s="10" t="s">
        <x:v>53</x:v>
      </x:c>
      <x:c r="C29" s="10" t="s">
        <x:v>54</x:v>
      </x:c>
      <x:c r="D29" s="10" t="s">
        <x:v>65</x:v>
      </x:c>
    </x:row>
    <x:row r="30" ht="34">
      <x:c r="A30" s="10" t="s">
        <x:v>66</x:v>
      </x:c>
      <x:c r="B30" s="10" t="s">
        <x:v>53</x:v>
      </x:c>
      <x:c r="C30" s="10" t="s">
        <x:v>54</x:v>
      </x:c>
      <x:c r="D30" s="10" t="s">
        <x:v>67</x:v>
      </x:c>
    </x:row>
    <x:row r="31" ht="34">
      <x:c r="A31" s="10" t="s">
        <x:v>68</x:v>
      </x:c>
      <x:c r="B31" s="10" t="s">
        <x:v>53</x:v>
      </x:c>
      <x:c r="C31" s="10" t="s">
        <x:v>54</x:v>
      </x:c>
      <x:c r="D31" s="10" t="s">
        <x:v>69</x:v>
      </x:c>
    </x:row>
    <x:row r="32" ht="34">
      <x:c r="A32" s="10" t="s">
        <x:v>70</x:v>
      </x:c>
      <x:c r="B32" s="10" t="s">
        <x:v>71</x:v>
      </x:c>
      <x:c r="C32" s="10" t="s">
        <x:v>54</x:v>
      </x:c>
      <x:c r="D32" s="10" t="s">
        <x:v>72</x:v>
      </x:c>
    </x:row>
  </x:sheetData>
  <x:mergeCells>
    <x:mergeCell ref="A1:F1"/>
    <x:mergeCell ref="A2:F2"/>
    <x:mergeCell ref="A4:F4"/>
    <x:mergeCell ref="A5:F5"/>
    <x:mergeCell ref="A22:F22"/>
    <x:mergeCell ref="A23:F23"/>
  </x:mergeCells>
  <x:pageMargins left="0.7" right="0.7" top="0.75" bottom="0.75" header="0.3" footer="0.3"/>
  <x:tableParts count="2">
    <x:tablePart xmlns:r="http://schemas.openxmlformats.org/officeDocument/2006/relationships" r:id="Rdcfdeee7a84440b5"/>
    <x:tablePart xmlns:r="http://schemas.openxmlformats.org/officeDocument/2006/relationships" r:id="R0cf4662de08848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customWidth="1"/>
    <x:col min="2" max="2" width="28" customWidth="1"/>
    <x:col min="3" max="3" width="16" customWidth="1"/>
    <x:col min="4" max="5" width="14" customWidth="1"/>
    <x:col min="6" max="6" width="48" customWidth="1"/>
  </x:cols>
  <x:sheetData>
    <x:row r="1" ht="30" customHeight="1">
      <x:c r="A1" s="1" t="s">
        <x:v>73</x:v>
      </x:c>
      <x:c r="B1" s="1"/>
      <x:c r="C1" s="1"/>
      <x:c r="D1" s="1"/>
      <x:c r="E1" s="1"/>
      <x:c r="F1" s="1"/>
    </x:row>
    <x:row r="2" ht="30" customHeight="1">
      <x:c r="A2" s="2" t="s">
        <x:v>74</x:v>
      </x:c>
      <x:c r="B2" s="2"/>
      <x:c r="C2" s="2"/>
      <x:c r="D2" s="2"/>
      <x:c r="E2" s="2"/>
      <x:c r="F2" s="2"/>
    </x:row>
    <x:row r="4" ht="17">
      <x:c r="A4" s="3" t="s">
        <x:v>75</x:v>
      </x:c>
      <x:c r="B4" s="3" t="s">
        <x:v>76</x:v>
      </x:c>
      <x:c r="C4" s="3" t="s">
        <x:v>77</x:v>
      </x:c>
      <x:c r="D4" s="3" t="s">
        <x:v>78</x:v>
      </x:c>
      <x:c r="E4" s="3" t="s">
        <x:v>79</x:v>
      </x:c>
    </x:row>
    <x:row r="5" ht="17">
      <x:c r="A5" s="7" t="s">
        <x:v>80</x:v>
      </x:c>
      <x:c r="B5" s="7" t="s">
        <x:v>81</x:v>
      </x:c>
      <x:c r="C5" s="9">
        <x:v>20</x:v>
      </x:c>
      <x:c r="D5" s="7" t="s">
        <x:v>82</x:v>
      </x:c>
      <x:c r="E5" s="7" t="s">
        <x:v>83</x:v>
      </x:c>
    </x:row>
    <x:row r="6" ht="17">
      <x:c r="A6" s="10" t="s">
        <x:v>84</x:v>
      </x:c>
      <x:c r="B6" s="10" t="s">
        <x:v>85</x:v>
      </x:c>
      <x:c r="C6" s="11">
        <x:v>4</x:v>
      </x:c>
      <x:c r="D6" s="10" t="s">
        <x:v>86</x:v>
      </x:c>
      <x:c r="E6" s="10" t="s">
        <x:v>87</x:v>
      </x:c>
    </x:row>
    <x:row r="7" ht="17">
      <x:c r="A7" s="10" t="s">
        <x:v>88</x:v>
      </x:c>
      <x:c r="B7" s="10" t="s">
        <x:v>89</x:v>
      </x:c>
      <x:c r="C7" s="11">
        <x:v>30</x:v>
      </x:c>
      <x:c r="D7" s="10" t="s">
        <x:v>90</x:v>
      </x:c>
      <x:c r="E7" s="10" t="s">
        <x:v>91</x:v>
      </x:c>
    </x:row>
    <x:row r="8" ht="17">
      <x:c r="A8" s="10" t="s">
        <x:v>92</x:v>
      </x:c>
      <x:c r="B8" s="10" t="s">
        <x:v>93</x:v>
      </x:c>
      <x:c r="C8" s="11">
        <x:v>2</x:v>
      </x:c>
      <x:c r="D8" s="10" t="s">
        <x:v>94</x:v>
      </x:c>
      <x:c r="E8" s="10" t="s">
        <x:v>95</x:v>
      </x:c>
    </x:row>
    <x:row r="9" ht="17">
      <x:c r="A9" s="10" t="s">
        <x:v>92</x:v>
      </x:c>
      <x:c r="B9" s="10" t="s">
        <x:v>96</x:v>
      </x:c>
      <x:c r="C9" s="11">
        <x:v>6</x:v>
      </x:c>
      <x:c r="D9" s="10" t="s">
        <x:v>97</x:v>
      </x:c>
      <x:c r="E9" s="10" t="s">
        <x:v>98</x:v>
      </x:c>
    </x:row>
    <x:row r="10" ht="17">
      <x:c r="A10" s="10" t="s">
        <x:v>99</x:v>
      </x:c>
      <x:c r="B10" s="10" t="s">
        <x:v>100</x:v>
      </x:c>
      <x:c r="C10" s="12">
        <x:v>0.35</x:v>
      </x:c>
      <x:c r="D10" s="10" t="s">
        <x:v>101</x:v>
      </x:c>
      <x:c r="E10" s="10" t="s">
        <x:v>102</x:v>
      </x:c>
    </x:row>
    <x:row r="11" ht="17">
      <x:c r="A11" s="10" t="s">
        <x:v>99</x:v>
      </x:c>
      <x:c r="B11" s="10" t="s">
        <x:v>103</x:v>
      </x:c>
      <x:c r="C11" s="11">
        <x:v>100</x:v>
      </x:c>
      <x:c r="D11" s="10" t="s">
        <x:v>104</x:v>
      </x:c>
      <x:c r="E11" s="10" t="s">
        <x:v>105</x:v>
      </x:c>
    </x:row>
    <x:row r="12" ht="17">
      <x:c r="A12" s="10" t="s">
        <x:v>99</x:v>
      </x:c>
      <x:c r="B12" s="10" t="s">
        <x:v>106</x:v>
      </x:c>
      <x:c r="C12" s="11">
        <x:v>5</x:v>
      </x:c>
      <x:c r="D12" s="10" t="s">
        <x:v>107</x:v>
      </x:c>
      <x:c r="E12" s="10" t="s">
        <x:v>105</x:v>
      </x:c>
    </x:row>
    <x:row r="13" ht="17">
      <x:c r="A13" s="10" t="s">
        <x:v>108</x:v>
      </x:c>
      <x:c r="B13" s="10" t="s">
        <x:v>109</x:v>
      </x:c>
      <x:c r="C13" s="11">
        <x:v>100</x:v>
      </x:c>
      <x:c r="D13" s="10" t="s">
        <x:v>110</x:v>
      </x:c>
      <x:c r="E13" s="10" t="s">
        <x:v>111</x:v>
      </x:c>
    </x:row>
    <x:row r="14" ht="17">
      <x:c r="A14" s="10" t="s">
        <x:v>112</x:v>
      </x:c>
      <x:c r="B14" s="10" t="s">
        <x:v>113</x:v>
      </x:c>
      <x:c r="C14" s="12">
        <x:v>0.3</x:v>
      </x:c>
      <x:c r="D14" s="10" t="s">
        <x:v>114</x:v>
      </x:c>
      <x:c r="E14" s="10" t="s">
        <x:v>115</x:v>
      </x:c>
    </x:row>
    <x:row r="15" ht="17">
      <x:c r="A15" s="10" t="s">
        <x:v>116</x:v>
      </x:c>
      <x:c r="B15" s="10" t="s">
        <x:v>117</x:v>
      </x:c>
      <x:c r="C15" s="11">
        <x:v>25150</x:v>
      </x:c>
      <x:c r="D15" s="10" t="s">
        <x:v>118</x:v>
      </x:c>
      <x:c r="E15" s="10" t="s">
        <x:v>119</x:v>
      </x:c>
    </x:row>
    <x:row r="16" ht="17">
      <x:c r="A16" s="10" t="s">
        <x:v>116</x:v>
      </x:c>
      <x:c r="B16" s="10" t="s">
        <x:v>120</x:v>
      </x:c>
      <x:c r="C16" s="11">
        <x:v>600</x:v>
      </x:c>
      <x:c r="D16" s="10" t="s">
        <x:v>121</x:v>
      </x:c>
      <x:c r="E16" s="10" t="s">
        <x:v>95</x:v>
      </x:c>
    </x:row>
    <x:row r="17" ht="17">
      <x:c r="A17" s="10" t="s">
        <x:v>116</x:v>
      </x:c>
      <x:c r="B17" s="10" t="s">
        <x:v>122</x:v>
      </x:c>
      <x:c r="C17" s="11">
        <x:v>300</x:v>
      </x:c>
      <x:c r="D17" s="10" t="s">
        <x:v>121</x:v>
      </x:c>
      <x:c r="E17" s="10" t="s">
        <x:v>95</x:v>
      </x:c>
    </x:row>
    <x:row r="18" ht="17">
      <x:c r="A18" s="10" t="s">
        <x:v>123</x:v>
      </x:c>
      <x:c r="B18" s="10" t="s">
        <x:v>124</x:v>
      </x:c>
      <x:c r="C18" s="11">
        <x:v>24</x:v>
      </x:c>
      <x:c r="D18" s="10" t="s">
        <x:v>90</x:v>
      </x:c>
      <x:c r="E18" s="10" t="s">
        <x:v>125</x:v>
      </x:c>
    </x:row>
    <x:row r="19" ht="17">
      <x:c r="A19" s="10" t="s">
        <x:v>126</x:v>
      </x:c>
      <x:c r="B19" s="10" t="s">
        <x:v>127</x:v>
      </x:c>
      <x:c r="C19" s="11">
        <x:v>12000</x:v>
      </x:c>
      <x:c r="D19" s="10" t="s">
        <x:v>128</x:v>
      </x:c>
      <x:c r="E19" s="10" t="s">
        <x:v>129</x:v>
      </x:c>
    </x:row>
    <x:row r="22" ht="22" customHeight="1">
      <x:c r="A22" s="5" t="s">
        <x:v>130</x:v>
      </x:c>
      <x:c r="B22" s="5"/>
      <x:c r="C22" s="5"/>
      <x:c r="D22" s="5"/>
      <x:c r="E22" s="5"/>
      <x:c r="F22" s="5"/>
    </x:row>
    <x:row r="23">
      <x:c r="A23" s="6" t="s">
        <x:v>131</x:v>
      </x:c>
      <x:c r="B23" s="6"/>
      <x:c r="C23" s="6"/>
      <x:c r="D23" s="6"/>
      <x:c r="E23" s="6"/>
      <x:c r="F23" s="6"/>
    </x:row>
    <x:row r="24" ht="17">
      <x:c r="A24" s="3" t="s">
        <x:v>132</x:v>
      </x:c>
      <x:c r="B24" s="3" t="s">
        <x:v>133</x:v>
      </x:c>
      <x:c r="C24" s="3" t="s">
        <x:v>134</x:v>
      </x:c>
      <x:c r="D24" s="3" t="s">
        <x:v>135</x:v>
      </x:c>
      <x:c r="E24" s="3" t="s">
        <x:v>136</x:v>
      </x:c>
      <x:c r="F24" s="3" t="s">
        <x:v>137</x:v>
      </x:c>
    </x:row>
    <x:row r="25" ht="17">
      <x:c r="A25" s="19" t="s">
        <x:v>138</x:v>
      </x:c>
      <x:c r="B25" s="21" t="n">
        <x:f>COUNTA('05_职业技能'!$D$5:$D$40)</x:f>
        <x:v>36</x:v>
      </x:c>
      <x:c r="C25" s="19">
        <x:v>36</x:v>
      </x:c>
      <x:c r="D25" s="19" t="s">
        <x:v>139</x:v>
      </x:c>
      <x:c r="E25" s="27" t="str">
        <x:f>IF(B25=C25,"通过","检查")</x:f>
        <x:v>通过</x:v>
      </x:c>
      <x:c r="F25" s="19" t="s">
        <x:v>140</x:v>
      </x:c>
    </x:row>
    <x:row r="26" ht="17">
      <x:c r="A26" s="19" t="s">
        <x:v>141</x:v>
      </x:c>
      <x:c r="B26" s="21" t="n">
        <x:f>'02_等级成长'!$E$38</x:f>
        <x:v>22680</x:v>
      </x:c>
      <x:c r="C26" s="19">
        <x:v>22680</x:v>
      </x:c>
      <x:c r="D26" s="19" t="s">
        <x:v>139</x:v>
      </x:c>
      <x:c r="E26" s="27" t="str">
        <x:f>IF(B26=C26,"通过","检查")</x:f>
        <x:v>通过</x:v>
      </x:c>
      <x:c r="F26" s="19" t="s">
        <x:v>142</x:v>
      </x:c>
    </x:row>
    <x:row r="27" ht="17">
      <x:c r="A27" s="19" t="s">
        <x:v>143</x:v>
      </x:c>
      <x:c r="B27" s="21" t="n">
        <x:f>C15-'02_等级成长'!$E$38</x:f>
        <x:v>2470</x:v>
      </x:c>
      <x:c r="C27" s="19">
        <x:v>2470</x:v>
      </x:c>
      <x:c r="D27" s="19" t="s">
        <x:v>139</x:v>
      </x:c>
      <x:c r="E27" s="27" t="str">
        <x:f>IF(B27=C27,"通过","检查")</x:f>
        <x:v>通过</x:v>
      </x:c>
      <x:c r="F27" s="19" t="s">
        <x:v>144</x:v>
      </x:c>
    </x:row>
    <x:row r="28" ht="17">
      <x:c r="A28" s="19" t="s">
        <x:v>145</x:v>
      </x:c>
      <x:c r="B28" s="21" t="n">
        <x:f>MAX('10_炼器'!$B$5:$B$28)</x:f>
        <x:v>5800</x:v>
      </x:c>
      <x:c r="C28" s="19">
        <x:v>12000</x:v>
      </x:c>
      <x:c r="D28" s="19" t="s">
        <x:v>146</x:v>
      </x:c>
      <x:c r="E28" s="27" t="str">
        <x:f>IF(B28&lt;=C28,"通过","检查")</x:f>
        <x:v>通过</x:v>
      </x:c>
      <x:c r="F28" s="19" t="s">
        <x:v>147</x:v>
      </x:c>
    </x:row>
    <x:row r="29" ht="17">
      <x:c r="A29" s="19" t="s">
        <x:v>148</x:v>
      </x:c>
      <x:c r="B29" s="21" t="n">
        <x:f>MAX('12_后勤'!$D$14:$D$17)</x:f>
        <x:v>350</x:v>
      </x:c>
      <x:c r="C29" s="19">
        <x:v>600</x:v>
      </x:c>
      <x:c r="D29" s="19" t="s">
        <x:v>149</x:v>
      </x:c>
      <x:c r="E29" s="27" t="str">
        <x:f>IF(B29&lt;C29,"通过","检查")</x:f>
        <x:v>通过</x:v>
      </x:c>
      <x:c r="F29" s="19" t="s">
        <x:v>150</x:v>
      </x:c>
    </x:row>
    <x:row r="30" ht="34">
      <x:c r="A30" s="19" t="s">
        <x:v>151</x:v>
      </x:c>
      <x:c r="B30" s="26" t="n">
        <x:f>MAX('13_资源副本'!$I$5:$I$10)</x:f>
        <x:v>0.04285714285714448</x:v>
      </x:c>
      <x:c r="C30" s="19">
        <x:v>0.2</x:v>
      </x:c>
      <x:c r="D30" s="19" t="s">
        <x:v>146</x:v>
      </x:c>
      <x:c r="E30" s="27" t="str">
        <x:f>IF(B30&lt;=C30,"通过","检查")</x:f>
        <x:v>通过</x:v>
      </x:c>
      <x:c r="F30" s="19" t="s">
        <x:v>152</x:v>
      </x:c>
    </x:row>
  </x:sheetData>
  <x:mergeCells>
    <x:mergeCell ref="A1:F1"/>
    <x:mergeCell ref="A2:F2"/>
    <x:mergeCell ref="A22:F22"/>
    <x:mergeCell ref="A23:F23"/>
  </x:mergeCells>
  <x:conditionalFormatting sqref="E25:E30">
    <x:cfRule type="expression" dxfId="0" priority="1">
      <x:formula>E25="检查"</x:formula>
    </x:cfRule>
    <x:cfRule type="expression" dxfId="1" priority="2">
      <x:formula>E25="通过"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1efaf29014f44a2f"/>
    <x:tablePart xmlns:r="http://schemas.openxmlformats.org/officeDocument/2006/relationships" r:id="R8158c5bb798646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2" customWidth="1"/>
    <x:col min="3" max="6" width="14" customWidth="1"/>
    <x:col min="7" max="7" width="44" customWidth="1"/>
    <x:col min="8" max="8" width="16" customWidth="1"/>
    <x:col min="9" max="11" width="18" customWidth="1"/>
  </x:cols>
  <x:sheetData>
    <x:row r="1" ht="30" customHeight="1">
      <x:c r="A1" s="1" t="s">
        <x:v>153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2" t="s">
        <x:v>154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22" customHeight="1">
      <x:c r="A4" s="5" t="s">
        <x:v>155</x:v>
      </x:c>
      <x:c r="B4" s="5"/>
      <x:c r="C4" s="5"/>
      <x:c r="D4" s="5"/>
      <x:c r="E4" s="5"/>
    </x:row>
    <x:row r="5">
      <x:c r="A5" s="6" t="s">
        <x:v>156</x:v>
      </x:c>
      <x:c r="B5" s="6"/>
      <x:c r="C5" s="6"/>
      <x:c r="D5" s="6"/>
      <x:c r="E5" s="6"/>
    </x:row>
    <x:row r="6" ht="17">
      <x:c r="A6" s="3" t="s">
        <x:v>157</x:v>
      </x:c>
      <x:c r="B6" s="3" t="s">
        <x:v>158</x:v>
      </x:c>
      <x:c r="C6" s="3" t="s">
        <x:v>159</x:v>
      </x:c>
    </x:row>
    <x:row r="7">
      <x:c r="A7" t="s">
        <x:v>160</x:v>
      </x:c>
      <x:c r="B7" s="16" t="n">
        <x:f>D24</x:f>
        <x:v>470</x:v>
      </x:c>
      <x:c r="C7" s="16" t="n">
        <x:f>E24</x:f>
        <x:v>1880</x:v>
      </x:c>
    </x:row>
    <x:row r="8">
      <x:c r="A8" t="s">
        <x:v>161</x:v>
      </x:c>
      <x:c r="B8" s="16" t="n">
        <x:f>D34</x:f>
        <x:v>3130</x:v>
      </x:c>
      <x:c r="C8" s="16" t="n">
        <x:f>E34</x:f>
        <x:v>12520</x:v>
      </x:c>
    </x:row>
    <x:row r="9">
      <x:c r="A9" t="s">
        <x:v>162</x:v>
      </x:c>
      <x:c r="B9" s="16" t="n">
        <x:f>D35</x:f>
        <x:v>3650</x:v>
      </x:c>
      <x:c r="C9" s="16" t="n">
        <x:f>E35</x:f>
        <x:v>14600</x:v>
      </x:c>
    </x:row>
    <x:row r="10">
      <x:c r="A10" t="s">
        <x:v>163</x:v>
      </x:c>
      <x:c r="B10" s="16" t="n">
        <x:f>D38</x:f>
        <x:v>5670</x:v>
      </x:c>
      <x:c r="C10" s="16" t="n">
        <x:f>E38</x:f>
        <x:v>22680</x:v>
      </x:c>
    </x:row>
    <x:row r="11">
      <x:c r="A11" t="s">
        <x:v>164</x:v>
      </x:c>
      <x:c r="B11" s="16" t="n">
        <x:f>D44</x:f>
        <x:v>12805</x:v>
      </x:c>
      <x:c r="C11" s="16" t="n">
        <x:f>E44</x:f>
        <x:v>51220</x:v>
      </x:c>
    </x:row>
    <x:row r="13" ht="22" customHeight="1">
      <x:c r="A13" s="5" t="s">
        <x:v>165</x:v>
      </x:c>
      <x:c r="B13" s="5"/>
      <x:c r="C13" s="5"/>
      <x:c r="D13" s="5"/>
      <x:c r="E13" s="5"/>
      <x:c r="G13" s="25" t="s">
        <x:v>166</x:v>
      </x:c>
      <x:c r="H13" s="25"/>
      <x:c r="I13" s="25"/>
    </x:row>
    <x:row r="14">
      <x:c r="A14" s="6" t="s">
        <x:v>167</x:v>
      </x:c>
      <x:c r="B14" s="6"/>
      <x:c r="C14" s="6"/>
      <x:c r="D14" s="6"/>
      <x:c r="E14" s="6"/>
      <x:c r="G14" s="6" t="s">
        <x:v>168</x:v>
      </x:c>
      <x:c r="H14" s="6"/>
      <x:c r="I14" s="6"/>
    </x:row>
    <x:row r="15" ht="17">
      <x:c r="A15" s="3" t="s">
        <x:v>169</x:v>
      </x:c>
      <x:c r="B15" s="3" t="s">
        <x:v>170</x:v>
      </x:c>
      <x:c r="C15" s="3" t="s">
        <x:v>171</x:v>
      </x:c>
      <x:c r="D15" s="3" t="s">
        <x:v>172</x:v>
      </x:c>
      <x:c r="E15" s="3" t="s">
        <x:v>173</x:v>
      </x:c>
      <x:c r="G15" s="3" t="s">
        <x:v>174</x:v>
      </x:c>
      <x:c r="H15" s="3" t="s">
        <x:v>175</x:v>
      </x:c>
      <x:c r="I15" s="3" t="s">
        <x:v>176</x:v>
      </x:c>
    </x:row>
    <x:row r="16" ht="17">
      <x:c r="A16" s="4">
        <x:v>1</x:v>
      </x:c>
      <x:c r="B16" s="4">
        <x:v>2</x:v>
      </x:c>
      <x:c r="C16" s="4">
        <x:v>20</x:v>
      </x:c>
      <x:c r="D16" s="16" t="n">
        <x:f>SUM($C$16:C16)</x:f>
        <x:v>20</x:v>
      </x:c>
      <x:c r="E16" s="16" t="n">
        <x:f>D16*'01_关键参数'!$C$6</x:f>
        <x:v>80</x:v>
      </x:c>
      <x:c r="G16" s="18" t="s">
        <x:v>177</x:v>
      </x:c>
      <x:c r="H16" s="18" t="s">
        <x:v>178</x:v>
      </x:c>
      <x:c r="I16" s="18" t="s">
        <x:v>179</x:v>
      </x:c>
    </x:row>
    <x:row r="17" ht="51">
      <x:c r="A17" s="4">
        <x:v>2</x:v>
      </x:c>
      <x:c r="B17" s="4">
        <x:v>3</x:v>
      </x:c>
      <x:c r="C17" s="4">
        <x:v>25</x:v>
      </x:c>
      <x:c r="D17" s="16" t="n">
        <x:f>SUM($C$16:C17)</x:f>
        <x:v>45</x:v>
      </x:c>
      <x:c r="E17" s="16" t="n">
        <x:f>D17*'01_关键参数'!$C$6</x:f>
        <x:v>180</x:v>
      </x:c>
      <x:c r="G17" s="18" t="s">
        <x:v>180</x:v>
      </x:c>
      <x:c r="H17" s="18" t="s">
        <x:v>181</x:v>
      </x:c>
      <x:c r="I17" s="18" t="s">
        <x:v>182</x:v>
      </x:c>
    </x:row>
    <x:row r="18" ht="68">
      <x:c r="A18" s="4">
        <x:v>3</x:v>
      </x:c>
      <x:c r="B18" s="4">
        <x:v>4</x:v>
      </x:c>
      <x:c r="C18" s="4">
        <x:v>30</x:v>
      </x:c>
      <x:c r="D18" s="16" t="n">
        <x:f>SUM($C$16:C18)</x:f>
        <x:v>75</x:v>
      </x:c>
      <x:c r="E18" s="16" t="n">
        <x:f>D18*'01_关键参数'!$C$6</x:f>
        <x:v>300</x:v>
      </x:c>
      <x:c r="G18" s="18" t="s">
        <x:v>183</x:v>
      </x:c>
      <x:c r="H18" s="18" t="s">
        <x:v>184</x:v>
      </x:c>
      <x:c r="I18" s="18" t="s">
        <x:v>185</x:v>
      </x:c>
    </x:row>
    <x:row r="19">
      <x:c r="A19" s="4">
        <x:v>4</x:v>
      </x:c>
      <x:c r="B19" s="4">
        <x:v>5</x:v>
      </x:c>
      <x:c r="C19" s="4">
        <x:v>35</x:v>
      </x:c>
      <x:c r="D19" s="16" t="n">
        <x:f>SUM($C$16:C19)</x:f>
        <x:v>110</x:v>
      </x:c>
      <x:c r="E19" s="16" t="n">
        <x:f>D19*'01_关键参数'!$C$6</x:f>
        <x:v>440</x:v>
      </x:c>
    </x:row>
    <x:row r="20">
      <x:c r="A20" s="4">
        <x:v>5</x:v>
      </x:c>
      <x:c r="B20" s="4">
        <x:v>6</x:v>
      </x:c>
      <x:c r="C20" s="4">
        <x:v>45</x:v>
      </x:c>
      <x:c r="D20" s="16" t="n">
        <x:f>SUM($C$16:C20)</x:f>
        <x:v>155</x:v>
      </x:c>
      <x:c r="E20" s="16" t="n">
        <x:f>D20*'01_关键参数'!$C$6</x:f>
        <x:v>620</x:v>
      </x:c>
    </x:row>
    <x:row r="21">
      <x:c r="A21" s="4">
        <x:v>6</x:v>
      </x:c>
      <x:c r="B21" s="4">
        <x:v>7</x:v>
      </x:c>
      <x:c r="C21" s="4">
        <x:v>55</x:v>
      </x:c>
      <x:c r="D21" s="16" t="n">
        <x:f>SUM($C$16:C21)</x:f>
        <x:v>210</x:v>
      </x:c>
      <x:c r="E21" s="16" t="n">
        <x:f>D21*'01_关键参数'!$C$6</x:f>
        <x:v>840</x:v>
      </x:c>
    </x:row>
    <x:row r="22">
      <x:c r="A22" s="4">
        <x:v>7</x:v>
      </x:c>
      <x:c r="B22" s="4">
        <x:v>8</x:v>
      </x:c>
      <x:c r="C22" s="4">
        <x:v>70</x:v>
      </x:c>
      <x:c r="D22" s="16" t="n">
        <x:f>SUM($C$16:C22)</x:f>
        <x:v>280</x:v>
      </x:c>
      <x:c r="E22" s="16" t="n">
        <x:f>D22*'01_关键参数'!$C$6</x:f>
        <x:v>1120</x:v>
      </x:c>
    </x:row>
    <x:row r="23">
      <x:c r="A23" s="4">
        <x:v>8</x:v>
      </x:c>
      <x:c r="B23" s="4">
        <x:v>9</x:v>
      </x:c>
      <x:c r="C23" s="4">
        <x:v>85</x:v>
      </x:c>
      <x:c r="D23" s="16" t="n">
        <x:f>SUM($C$16:C23)</x:f>
        <x:v>365</x:v>
      </x:c>
      <x:c r="E23" s="16" t="n">
        <x:f>D23*'01_关键参数'!$C$6</x:f>
        <x:v>1460</x:v>
      </x:c>
    </x:row>
    <x:row r="24">
      <x:c r="A24" s="4">
        <x:v>9</x:v>
      </x:c>
      <x:c r="B24" s="4">
        <x:v>10</x:v>
      </x:c>
      <x:c r="C24" s="4">
        <x:v>105</x:v>
      </x:c>
      <x:c r="D24" s="16" t="n">
        <x:f>SUM($C$16:C24)</x:f>
        <x:v>470</x:v>
      </x:c>
      <x:c r="E24" s="16" t="n">
        <x:f>D24*'01_关键参数'!$C$6</x:f>
        <x:v>1880</x:v>
      </x:c>
    </x:row>
    <x:row r="25">
      <x:c r="A25" s="4">
        <x:v>10</x:v>
      </x:c>
      <x:c r="B25" s="4">
        <x:v>11</x:v>
      </x:c>
      <x:c r="C25" s="4">
        <x:v>130</x:v>
      </x:c>
      <x:c r="D25" s="16" t="n">
        <x:f>SUM($C$16:C25)</x:f>
        <x:v>600</x:v>
      </x:c>
      <x:c r="E25" s="16" t="n">
        <x:f>D25*'01_关键参数'!$C$6</x:f>
        <x:v>2400</x:v>
      </x:c>
    </x:row>
    <x:row r="26">
      <x:c r="A26" s="4">
        <x:v>11</x:v>
      </x:c>
      <x:c r="B26" s="4">
        <x:v>12</x:v>
      </x:c>
      <x:c r="C26" s="4">
        <x:v>150</x:v>
      </x:c>
      <x:c r="D26" s="16" t="n">
        <x:f>SUM($C$16:C26)</x:f>
        <x:v>750</x:v>
      </x:c>
      <x:c r="E26" s="16" t="n">
        <x:f>D26*'01_关键参数'!$C$6</x:f>
        <x:v>3000</x:v>
      </x:c>
    </x:row>
    <x:row r="27">
      <x:c r="A27" s="4">
        <x:v>12</x:v>
      </x:c>
      <x:c r="B27" s="4">
        <x:v>13</x:v>
      </x:c>
      <x:c r="C27" s="4">
        <x:v>175</x:v>
      </x:c>
      <x:c r="D27" s="16" t="n">
        <x:f>SUM($C$16:C27)</x:f>
        <x:v>925</x:v>
      </x:c>
      <x:c r="E27" s="16" t="n">
        <x:f>D27*'01_关键参数'!$C$6</x:f>
        <x:v>3700</x:v>
      </x:c>
    </x:row>
    <x:row r="28">
      <x:c r="A28" s="4">
        <x:v>13</x:v>
      </x:c>
      <x:c r="B28" s="4">
        <x:v>14</x:v>
      </x:c>
      <x:c r="C28" s="4">
        <x:v>200</x:v>
      </x:c>
      <x:c r="D28" s="16" t="n">
        <x:f>SUM($C$16:C28)</x:f>
        <x:v>1125</x:v>
      </x:c>
      <x:c r="E28" s="16" t="n">
        <x:f>D28*'01_关键参数'!$C$6</x:f>
        <x:v>4500</x:v>
      </x:c>
    </x:row>
    <x:row r="29">
      <x:c r="A29" s="4">
        <x:v>14</x:v>
      </x:c>
      <x:c r="B29" s="4">
        <x:v>15</x:v>
      </x:c>
      <x:c r="C29" s="4">
        <x:v>230</x:v>
      </x:c>
      <x:c r="D29" s="16" t="n">
        <x:f>SUM($C$16:C29)</x:f>
        <x:v>1355</x:v>
      </x:c>
      <x:c r="E29" s="16" t="n">
        <x:f>D29*'01_关键参数'!$C$6</x:f>
        <x:v>5420</x:v>
      </x:c>
    </x:row>
    <x:row r="30">
      <x:c r="A30" s="4">
        <x:v>15</x:v>
      </x:c>
      <x:c r="B30" s="4">
        <x:v>16</x:v>
      </x:c>
      <x:c r="C30" s="4">
        <x:v>265</x:v>
      </x:c>
      <x:c r="D30" s="16" t="n">
        <x:f>SUM($C$16:C30)</x:f>
        <x:v>1620</x:v>
      </x:c>
      <x:c r="E30" s="16" t="n">
        <x:f>D30*'01_关键参数'!$C$6</x:f>
        <x:v>6480</x:v>
      </x:c>
    </x:row>
    <x:row r="31">
      <x:c r="A31" s="4">
        <x:v>16</x:v>
      </x:c>
      <x:c r="B31" s="4">
        <x:v>17</x:v>
      </x:c>
      <x:c r="C31" s="4">
        <x:v>305</x:v>
      </x:c>
      <x:c r="D31" s="16" t="n">
        <x:f>SUM($C$16:C31)</x:f>
        <x:v>1925</x:v>
      </x:c>
      <x:c r="E31" s="16" t="n">
        <x:f>D31*'01_关键参数'!$C$6</x:f>
        <x:v>7700</x:v>
      </x:c>
    </x:row>
    <x:row r="32">
      <x:c r="A32" s="4">
        <x:v>17</x:v>
      </x:c>
      <x:c r="B32" s="4">
        <x:v>18</x:v>
      </x:c>
      <x:c r="C32" s="4">
        <x:v>350</x:v>
      </x:c>
      <x:c r="D32" s="16" t="n">
        <x:f>SUM($C$16:C32)</x:f>
        <x:v>2275</x:v>
      </x:c>
      <x:c r="E32" s="16" t="n">
        <x:f>D32*'01_关键参数'!$C$6</x:f>
        <x:v>9100</x:v>
      </x:c>
    </x:row>
    <x:row r="33">
      <x:c r="A33" s="4">
        <x:v>18</x:v>
      </x:c>
      <x:c r="B33" s="4">
        <x:v>19</x:v>
      </x:c>
      <x:c r="C33" s="4">
        <x:v>400</x:v>
      </x:c>
      <x:c r="D33" s="16" t="n">
        <x:f>SUM($C$16:C33)</x:f>
        <x:v>2675</x:v>
      </x:c>
      <x:c r="E33" s="16" t="n">
        <x:f>D33*'01_关键参数'!$C$6</x:f>
        <x:v>10700</x:v>
      </x:c>
    </x:row>
    <x:row r="34">
      <x:c r="A34" s="4">
        <x:v>19</x:v>
      </x:c>
      <x:c r="B34" s="4">
        <x:v>20</x:v>
      </x:c>
      <x:c r="C34" s="4">
        <x:v>455</x:v>
      </x:c>
      <x:c r="D34" s="16" t="n">
        <x:f>SUM($C$16:C34)</x:f>
        <x:v>3130</x:v>
      </x:c>
      <x:c r="E34" s="16" t="n">
        <x:f>D34*'01_关键参数'!$C$6</x:f>
        <x:v>12520</x:v>
      </x:c>
    </x:row>
    <x:row r="35">
      <x:c r="A35" s="4">
        <x:v>20</x:v>
      </x:c>
      <x:c r="B35" s="4">
        <x:v>21</x:v>
      </x:c>
      <x:c r="C35" s="4">
        <x:v>520</x:v>
      </x:c>
      <x:c r="D35" s="16" t="n">
        <x:f>SUM($C$16:C35)</x:f>
        <x:v>3650</x:v>
      </x:c>
      <x:c r="E35" s="16" t="n">
        <x:f>D35*'01_关键参数'!$C$6</x:f>
        <x:v>14600</x:v>
      </x:c>
    </x:row>
    <x:row r="36">
      <x:c r="A36" s="4">
        <x:v>21</x:v>
      </x:c>
      <x:c r="B36" s="4">
        <x:v>22</x:v>
      </x:c>
      <x:c r="C36" s="4">
        <x:v>590</x:v>
      </x:c>
      <x:c r="D36" s="16" t="n">
        <x:f>SUM($C$16:C36)</x:f>
        <x:v>4240</x:v>
      </x:c>
      <x:c r="E36" s="16" t="n">
        <x:f>D36*'01_关键参数'!$C$6</x:f>
        <x:v>16960</x:v>
      </x:c>
    </x:row>
    <x:row r="37">
      <x:c r="A37" s="4">
        <x:v>22</x:v>
      </x:c>
      <x:c r="B37" s="4">
        <x:v>23</x:v>
      </x:c>
      <x:c r="C37" s="4">
        <x:v>670</x:v>
      </x:c>
      <x:c r="D37" s="16" t="n">
        <x:f>SUM($C$16:C37)</x:f>
        <x:v>4910</x:v>
      </x:c>
      <x:c r="E37" s="16" t="n">
        <x:f>D37*'01_关键参数'!$C$6</x:f>
        <x:v>19640</x:v>
      </x:c>
    </x:row>
    <x:row r="38">
      <x:c r="A38" s="4">
        <x:v>23</x:v>
      </x:c>
      <x:c r="B38" s="4">
        <x:v>24</x:v>
      </x:c>
      <x:c r="C38" s="4">
        <x:v>760</x:v>
      </x:c>
      <x:c r="D38" s="16" t="n">
        <x:f>SUM($C$16:C38)</x:f>
        <x:v>5670</x:v>
      </x:c>
      <x:c r="E38" s="16" t="n">
        <x:f>D38*'01_关键参数'!$C$6</x:f>
        <x:v>22680</x:v>
      </x:c>
    </x:row>
    <x:row r="39">
      <x:c r="A39" s="4">
        <x:v>24</x:v>
      </x:c>
      <x:c r="B39" s="4">
        <x:v>25</x:v>
      </x:c>
      <x:c r="C39" s="4">
        <x:v>860</x:v>
      </x:c>
      <x:c r="D39" s="16" t="n">
        <x:f>SUM($C$16:C39)</x:f>
        <x:v>6530</x:v>
      </x:c>
      <x:c r="E39" s="16" t="n">
        <x:f>D39*'01_关键参数'!$C$6</x:f>
        <x:v>26120</x:v>
      </x:c>
    </x:row>
    <x:row r="40">
      <x:c r="A40" s="4">
        <x:v>25</x:v>
      </x:c>
      <x:c r="B40" s="4">
        <x:v>26</x:v>
      </x:c>
      <x:c r="C40" s="4">
        <x:v>975</x:v>
      </x:c>
      <x:c r="D40" s="16" t="n">
        <x:f>SUM($C$16:C40)</x:f>
        <x:v>7505</x:v>
      </x:c>
      <x:c r="E40" s="16" t="n">
        <x:f>D40*'01_关键参数'!$C$6</x:f>
        <x:v>30020</x:v>
      </x:c>
    </x:row>
    <x:row r="41">
      <x:c r="A41" s="4">
        <x:v>26</x:v>
      </x:c>
      <x:c r="B41" s="4">
        <x:v>27</x:v>
      </x:c>
      <x:c r="C41" s="4">
        <x:v>1100</x:v>
      </x:c>
      <x:c r="D41" s="16" t="n">
        <x:f>SUM($C$16:C41)</x:f>
        <x:v>8605</x:v>
      </x:c>
      <x:c r="E41" s="16" t="n">
        <x:f>D41*'01_关键参数'!$C$6</x:f>
        <x:v>34420</x:v>
      </x:c>
    </x:row>
    <x:row r="42">
      <x:c r="A42" s="4">
        <x:v>27</x:v>
      </x:c>
      <x:c r="B42" s="4">
        <x:v>28</x:v>
      </x:c>
      <x:c r="C42" s="4">
        <x:v>1240</x:v>
      </x:c>
      <x:c r="D42" s="16" t="n">
        <x:f>SUM($C$16:C42)</x:f>
        <x:v>9845</x:v>
      </x:c>
      <x:c r="E42" s="16" t="n">
        <x:f>D42*'01_关键参数'!$C$6</x:f>
        <x:v>39380</x:v>
      </x:c>
    </x:row>
    <x:row r="43">
      <x:c r="A43" s="4">
        <x:v>28</x:v>
      </x:c>
      <x:c r="B43" s="4">
        <x:v>29</x:v>
      </x:c>
      <x:c r="C43" s="4">
        <x:v>1395</x:v>
      </x:c>
      <x:c r="D43" s="16" t="n">
        <x:f>SUM($C$16:C43)</x:f>
        <x:v>11240</x:v>
      </x:c>
      <x:c r="E43" s="16" t="n">
        <x:f>D43*'01_关键参数'!$C$6</x:f>
        <x:v>44960</x:v>
      </x:c>
    </x:row>
    <x:row r="44">
      <x:c r="A44" s="4">
        <x:v>29</x:v>
      </x:c>
      <x:c r="B44" s="4">
        <x:v>30</x:v>
      </x:c>
      <x:c r="C44" s="4">
        <x:v>1565</x:v>
      </x:c>
      <x:c r="D44" s="16" t="n">
        <x:f>SUM($C$16:C44)</x:f>
        <x:v>12805</x:v>
      </x:c>
      <x:c r="E44" s="16" t="n">
        <x:f>D44*'01_关键参数'!$C$6</x:f>
        <x:v>51220</x:v>
      </x:c>
    </x:row>
    <x:row r="47" ht="22" customHeight="1">
      <x:c r="A47" s="5" t="s">
        <x:v>186</x:v>
      </x:c>
      <x:c r="B47" s="5"/>
      <x:c r="C47" s="5"/>
      <x:c r="D47" s="5"/>
      <x:c r="E47" s="5"/>
      <x:c r="F47" s="5"/>
      <x:c r="G47" s="5"/>
    </x:row>
    <x:row r="48">
      <x:c r="A48" s="6" t="s">
        <x:v>187</x:v>
      </x:c>
      <x:c r="B48" s="6"/>
      <x:c r="C48" s="6"/>
      <x:c r="D48" s="6"/>
      <x:c r="E48" s="6"/>
      <x:c r="F48" s="6"/>
      <x:c r="G48" s="6"/>
    </x:row>
    <x:row r="49" ht="17">
      <x:c r="A49" s="3" t="s">
        <x:v>188</x:v>
      </x:c>
      <x:c r="B49" s="3" t="s">
        <x:v>189</x:v>
      </x:c>
      <x:c r="C49" s="3" t="s">
        <x:v>121</x:v>
      </x:c>
      <x:c r="D49" s="3" t="s">
        <x:v>190</x:v>
      </x:c>
      <x:c r="E49" s="3" t="s">
        <x:v>191</x:v>
      </x:c>
      <x:c r="F49" s="3" t="s">
        <x:v>192</x:v>
      </x:c>
      <x:c r="G49" s="3" t="s">
        <x:v>193</x:v>
      </x:c>
    </x:row>
    <x:row r="50" ht="17">
      <x:c r="A50" s="7" t="s">
        <x:v>180</x:v>
      </x:c>
      <x:c r="B50" s="9">
        <x:v>10</x:v>
      </x:c>
      <x:c r="C50" s="9">
        <x:v>300</x:v>
      </x:c>
      <x:c r="D50" s="9">
        <x:v>0</x:v>
      </x:c>
      <x:c r="E50" s="9">
        <x:v>0</x:v>
      </x:c>
      <x:c r="F50" s="9">
        <x:v>130</x:v>
      </x:c>
      <x:c r="G50" s="7" t="s">
        <x:v>194</x:v>
      </x:c>
    </x:row>
    <x:row r="51" ht="17">
      <x:c r="A51" s="10" t="s">
        <x:v>183</x:v>
      </x:c>
      <x:c r="B51" s="11">
        <x:v>20</x:v>
      </x:c>
      <x:c r="C51" s="11">
        <x:v>1200</x:v>
      </x:c>
      <x:c r="D51" s="11">
        <x:v>1</x:v>
      </x:c>
      <x:c r="E51" s="11">
        <x:v>15</x:v>
      </x:c>
      <x:c r="F51" s="11">
        <x:v>520</x:v>
      </x:c>
      <x:c r="G51" s="10" t="s">
        <x:v>195</x:v>
      </x:c>
    </x:row>
    <x:row r="52" ht="17">
      <x:c r="A52" s="10" t="s">
        <x:v>196</x:v>
      </x:c>
      <x:c r="B52" s="11">
        <x:v>20</x:v>
      </x:c>
      <x:c r="C52" s="11">
        <x:v>900</x:v>
      </x:c>
      <x:c r="D52" s="11">
        <x:v>1</x:v>
      </x:c>
      <x:c r="E52" s="11">
        <x:v>15</x:v>
      </x:c>
      <x:c r="F52" s="11">
        <x:v>520</x:v>
      </x:c>
      <x:c r="G52" s="10" t="s">
        <x:v>197</x:v>
      </x:c>
    </x:row>
    <x:row r="53" ht="17">
      <x:c r="A53" s="10" t="s">
        <x:v>198</x:v>
      </x:c>
      <x:c r="B53" s="11">
        <x:v>11</x:v>
      </x:c>
      <x:c r="C53" s="11">
        <x:v>3000</x:v>
      </x:c>
      <x:c r="D53" s="11">
        <x:v>0</x:v>
      </x:c>
      <x:c r="E53" s="11">
        <x:v>0</x:v>
      </x:c>
      <x:c r="F53" s="11">
        <x:v>0</x:v>
      </x:c>
      <x:c r="G53" s="10" t="s">
        <x:v>199</x:v>
      </x:c>
    </x:row>
    <x:row r="54" ht="17">
      <x:c r="A54" s="10" t="s">
        <x:v>200</x:v>
      </x:c>
      <x:c r="B54" s="11">
        <x:v>21</x:v>
      </x:c>
      <x:c r="C54" s="11">
        <x:v>9000</x:v>
      </x:c>
      <x:c r="D54" s="11">
        <x:v>0</x:v>
      </x:c>
      <x:c r="E54" s="11">
        <x:v>0</x:v>
      </x:c>
      <x:c r="F54" s="11">
        <x:v>0</x:v>
      </x:c>
      <x:c r="G54" s="10" t="s">
        <x:v>201</x:v>
      </x:c>
    </x:row>
  </x:sheetData>
  <x:mergeCells>
    <x:mergeCell ref="A1:K1"/>
    <x:mergeCell ref="A2:K2"/>
    <x:mergeCell ref="A4:E4"/>
    <x:mergeCell ref="A5:E5"/>
    <x:mergeCell ref="A13:E13"/>
    <x:mergeCell ref="G13:I13"/>
    <x:mergeCell ref="A14:E14"/>
    <x:mergeCell ref="G14:I14"/>
    <x:mergeCell ref="A47:G47"/>
    <x:mergeCell ref="A48:G48"/>
  </x:mergeCells>
  <x:pageMargins left="0.7" right="0.7" top="0.75" bottom="0.75" header="0.3" footer="0.3"/>
  <x:tableParts count="2">
    <x:tablePart xmlns:r="http://schemas.openxmlformats.org/officeDocument/2006/relationships" r:id="R7889d645c3f14f2c"/>
    <x:tablePart xmlns:r="http://schemas.openxmlformats.org/officeDocument/2006/relationships" r:id="Red107e12b25744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30" customWidth="1"/>
    <x:col min="2" max="3" width="18" customWidth="1"/>
    <x:col min="4" max="8" width="14" customWidth="1"/>
    <x:col min="9" max="9" width="28" customWidth="1"/>
    <x:col min="10" max="10" width="30" customWidth="1"/>
  </x:cols>
  <x:sheetData>
    <x:row r="1" ht="30" customHeight="1">
      <x:c r="A1" s="1" t="s">
        <x:v>202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2" t="s">
        <x:v>203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22" customHeight="1">
      <x:c r="A4" s="5" t="s">
        <x:v>204</x:v>
      </x:c>
      <x:c r="B4" s="5"/>
      <x:c r="C4" s="5"/>
      <x:c r="D4" s="5"/>
    </x:row>
    <x:row r="5">
      <x:c r="A5" s="6" t="s">
        <x:v>205</x:v>
      </x:c>
      <x:c r="B5" s="6"/>
      <x:c r="C5" s="6"/>
      <x:c r="D5" s="6"/>
    </x:row>
    <x:row r="6" ht="34">
      <x:c r="A6" s="3" t="s">
        <x:v>206</x:v>
      </x:c>
      <x:c r="B6" s="3" t="s">
        <x:v>207</x:v>
      </x:c>
      <x:c r="C6" s="3" t="s">
        <x:v>208</x:v>
      </x:c>
      <x:c r="D6" s="3" t="s">
        <x:v>209</x:v>
      </x:c>
    </x:row>
    <x:row r="7" ht="17">
      <x:c r="A7" s="7" t="s">
        <x:v>210</x:v>
      </x:c>
      <x:c r="B7" s="7" t="s">
        <x:v>211</x:v>
      </x:c>
      <x:c r="C7" s="8">
        <x:v>1</x:v>
      </x:c>
      <x:c r="D7" s="8">
        <x:v>1</x:v>
      </x:c>
    </x:row>
    <x:row r="8" ht="17">
      <x:c r="A8" s="10" t="s">
        <x:v>212</x:v>
      </x:c>
      <x:c r="B8" s="10" t="s">
        <x:v>213</x:v>
      </x:c>
      <x:c r="C8" s="12">
        <x:v>1.08</x:v>
      </x:c>
      <x:c r="D8" s="12">
        <x:v>1.1</x:v>
      </x:c>
    </x:row>
    <x:row r="9" ht="17">
      <x:c r="A9" s="10" t="s">
        <x:v>214</x:v>
      </x:c>
      <x:c r="B9" s="10" t="s">
        <x:v>215</x:v>
      </x:c>
      <x:c r="C9" s="12">
        <x:v>1.16</x:v>
      </x:c>
      <x:c r="D9" s="12">
        <x:v>1.22</x:v>
      </x:c>
    </x:row>
    <x:row r="10" ht="17">
      <x:c r="A10" s="10" t="s">
        <x:v>216</x:v>
      </x:c>
      <x:c r="B10" s="10" t="s">
        <x:v>217</x:v>
      </x:c>
      <x:c r="C10" s="12">
        <x:v>1.24</x:v>
      </x:c>
      <x:c r="D10" s="12">
        <x:v>1.36</x:v>
      </x:c>
    </x:row>
    <x:row r="11" ht="17">
      <x:c r="A11" s="10" t="s">
        <x:v>218</x:v>
      </x:c>
      <x:c r="B11" s="10" t="s">
        <x:v>219</x:v>
      </x:c>
      <x:c r="C11" s="12">
        <x:v>1.33</x:v>
      </x:c>
      <x:c r="D11" s="12">
        <x:v>1.52</x:v>
      </x:c>
    </x:row>
    <x:row r="12" ht="17">
      <x:c r="A12" s="10" t="s">
        <x:v>220</x:v>
      </x:c>
      <x:c r="B12" s="10" t="s">
        <x:v>221</x:v>
      </x:c>
      <x:c r="C12" s="12">
        <x:v>1.52</x:v>
      </x:c>
      <x:c r="D12" s="12">
        <x:v>1.9</x:v>
      </x:c>
    </x:row>
    <x:row r="15" ht="22" customHeight="1">
      <x:c r="A15" s="5" t="s">
        <x:v>204</x:v>
      </x:c>
      <x:c r="B15" s="5"/>
      <x:c r="C15" s="5"/>
    </x:row>
    <x:row r="16">
      <x:c r="A16" s="6" t="s">
        <x:v>222</x:v>
      </x:c>
      <x:c r="B16" s="6"/>
      <x:c r="C16" s="6"/>
    </x:row>
    <x:row r="17" ht="17">
      <x:c r="A17" s="3" t="s">
        <x:v>223</x:v>
      </x:c>
      <x:c r="B17" s="3" t="s">
        <x:v>224</x:v>
      </x:c>
      <x:c r="C17" s="3" t="s">
        <x:v>206</x:v>
      </x:c>
    </x:row>
    <x:row r="18" ht="17">
      <x:c r="A18" s="7" t="s">
        <x:v>225</x:v>
      </x:c>
      <x:c r="B18" s="7" t="s">
        <x:v>226</x:v>
      </x:c>
      <x:c r="C18" s="7" t="s">
        <x:v>227</x:v>
      </x:c>
    </x:row>
    <x:row r="19" ht="17">
      <x:c r="A19" s="10" t="s">
        <x:v>228</x:v>
      </x:c>
      <x:c r="B19" s="10" t="s">
        <x:v>229</x:v>
      </x:c>
      <x:c r="C19" s="10" t="s">
        <x:v>227</x:v>
      </x:c>
    </x:row>
    <x:row r="20" ht="17">
      <x:c r="A20" s="10" t="s">
        <x:v>230</x:v>
      </x:c>
      <x:c r="B20" s="10" t="s">
        <x:v>231</x:v>
      </x:c>
      <x:c r="C20" s="10" t="s">
        <x:v>227</x:v>
      </x:c>
    </x:row>
    <x:row r="21" ht="17">
      <x:c r="A21" s="10" t="s">
        <x:v>232</x:v>
      </x:c>
      <x:c r="B21" s="10" t="s">
        <x:v>233</x:v>
      </x:c>
      <x:c r="C21" s="10" t="s">
        <x:v>234</x:v>
      </x:c>
    </x:row>
    <x:row r="24" ht="22" customHeight="1">
      <x:c r="A24" s="5" t="s">
        <x:v>235</x:v>
      </x:c>
      <x:c r="B24" s="5"/>
      <x:c r="C24" s="5"/>
      <x:c r="D24" s="5"/>
      <x:c r="E24" s="5"/>
      <x:c r="F24" s="5"/>
      <x:c r="G24" s="5"/>
      <x:c r="H24" s="5"/>
    </x:row>
    <x:row r="25">
      <x:c r="A25" s="6" t="s">
        <x:v>236</x:v>
      </x:c>
      <x:c r="B25" s="6"/>
      <x:c r="C25" s="6"/>
      <x:c r="D25" s="6"/>
      <x:c r="E25" s="6"/>
      <x:c r="F25" s="6"/>
      <x:c r="G25" s="6"/>
      <x:c r="H25" s="6"/>
    </x:row>
    <x:row r="26" ht="17">
      <x:c r="A26" s="3" t="s">
        <x:v>237</x:v>
      </x:c>
      <x:c r="B26" s="3" t="s">
        <x:v>238</x:v>
      </x:c>
      <x:c r="C26" s="3" t="s">
        <x:v>239</x:v>
      </x:c>
      <x:c r="D26" s="3" t="s">
        <x:v>240</x:v>
      </x:c>
      <x:c r="E26" s="3" t="s">
        <x:v>241</x:v>
      </x:c>
      <x:c r="F26" s="3" t="s">
        <x:v>242</x:v>
      </x:c>
      <x:c r="G26" s="3" t="s">
        <x:v>243</x:v>
      </x:c>
      <x:c r="H26" s="3" t="s">
        <x:v>244</x:v>
      </x:c>
    </x:row>
    <x:row r="27" ht="17">
      <x:c r="A27" s="7" t="s">
        <x:v>226</x:v>
      </x:c>
      <x:c r="B27" s="9">
        <x:v>2200</x:v>
      </x:c>
      <x:c r="C27" s="9">
        <x:v>200</x:v>
      </x:c>
      <x:c r="D27" s="9">
        <x:v>500</x:v>
      </x:c>
      <x:c r="E27" s="9">
        <x:v>400</x:v>
      </x:c>
      <x:c r="F27" s="9">
        <x:v>2600</x:v>
      </x:c>
      <x:c r="G27" s="9">
        <x:v>1800</x:v>
      </x:c>
      <x:c r="H27" s="9">
        <x:v>700</x:v>
      </x:c>
    </x:row>
    <x:row r="28" ht="17">
      <x:c r="A28" s="10" t="s">
        <x:v>229</x:v>
      </x:c>
      <x:c r="B28" s="11">
        <x:v>200</x:v>
      </x:c>
      <x:c r="C28" s="11">
        <x:v>3000</x:v>
      </x:c>
      <x:c r="D28" s="11">
        <x:v>2000</x:v>
      </x:c>
      <x:c r="E28" s="11">
        <x:v>400</x:v>
      </x:c>
      <x:c r="F28" s="11">
        <x:v>800</x:v>
      </x:c>
      <x:c r="G28" s="11">
        <x:v>600</x:v>
      </x:c>
      <x:c r="H28" s="11">
        <x:v>1200</x:v>
      </x:c>
    </x:row>
    <x:row r="29" ht="17">
      <x:c r="A29" s="10" t="s">
        <x:v>231</x:v>
      </x:c>
      <x:c r="B29" s="11">
        <x:v>200</x:v>
      </x:c>
      <x:c r="C29" s="11">
        <x:v>2800</x:v>
      </x:c>
      <x:c r="D29" s="11">
        <x:v>1600</x:v>
      </x:c>
      <x:c r="E29" s="11">
        <x:v>500</x:v>
      </x:c>
      <x:c r="F29" s="11">
        <x:v>900</x:v>
      </x:c>
      <x:c r="G29" s="11">
        <x:v>600</x:v>
      </x:c>
      <x:c r="H29" s="11">
        <x:v>1800</x:v>
      </x:c>
    </x:row>
    <x:row r="30" ht="17">
      <x:c r="A30" s="10" t="s">
        <x:v>233</x:v>
      </x:c>
      <x:c r="B30" s="11">
        <x:v>1800</x:v>
      </x:c>
      <x:c r="C30" s="11">
        <x:v>200</x:v>
      </x:c>
      <x:c r="D30" s="11">
        <x:v>2200</x:v>
      </x:c>
      <x:c r="E30" s="11">
        <x:v>1600</x:v>
      </x:c>
      <x:c r="F30" s="11">
        <x:v>1000</x:v>
      </x:c>
      <x:c r="G30" s="11">
        <x:v>800</x:v>
      </x:c>
      <x:c r="H30" s="11">
        <x:v>600</x:v>
      </x:c>
    </x:row>
    <x:row r="33" ht="22" customHeight="1">
      <x:c r="A33" s="5" t="s">
        <x:v>245</x:v>
      </x:c>
      <x:c r="B33" s="5"/>
      <x:c r="C33" s="5"/>
      <x:c r="D33" s="5"/>
      <x:c r="E33" s="5"/>
      <x:c r="F33" s="5"/>
      <x:c r="G33" s="5"/>
      <x:c r="H33" s="5"/>
      <x:c r="I33" s="5"/>
    </x:row>
    <x:row r="34">
      <x:c r="A34" s="6" t="s">
        <x:v>246</x:v>
      </x:c>
      <x:c r="B34" s="6"/>
      <x:c r="C34" s="6"/>
      <x:c r="D34" s="6"/>
      <x:c r="E34" s="6"/>
      <x:c r="F34" s="6"/>
      <x:c r="G34" s="6"/>
      <x:c r="H34" s="6"/>
      <x:c r="I34" s="6"/>
    </x:row>
    <x:row r="35" ht="17">
      <x:c r="A35" s="3" t="s">
        <x:v>247</x:v>
      </x:c>
      <x:c r="B35" s="3" t="s">
        <x:v>238</x:v>
      </x:c>
      <x:c r="C35" s="3" t="s">
        <x:v>239</x:v>
      </x:c>
      <x:c r="D35" s="3" t="s">
        <x:v>240</x:v>
      </x:c>
      <x:c r="E35" s="3" t="s">
        <x:v>241</x:v>
      </x:c>
      <x:c r="F35" s="3" t="s">
        <x:v>242</x:v>
      </x:c>
      <x:c r="G35" s="3" t="s">
        <x:v>243</x:v>
      </x:c>
      <x:c r="H35" s="3" t="s">
        <x:v>244</x:v>
      </x:c>
      <x:c r="I35" s="3" t="s">
        <x:v>248</x:v>
      </x:c>
    </x:row>
    <x:row r="36" ht="17">
      <x:c r="A36" s="7" t="s">
        <x:v>249</x:v>
      </x:c>
      <x:c r="B36" s="9">
        <x:v>1700</x:v>
      </x:c>
      <x:c r="C36" s="9">
        <x:v>200</x:v>
      </x:c>
      <x:c r="D36" s="9">
        <x:v>500</x:v>
      </x:c>
      <x:c r="E36" s="9">
        <x:v>300</x:v>
      </x:c>
      <x:c r="F36" s="9">
        <x:v>3000</x:v>
      </x:c>
      <x:c r="G36" s="9">
        <x:v>3000</x:v>
      </x:c>
      <x:c r="H36" s="9">
        <x:v>1300</x:v>
      </x:c>
      <x:c r="I36" s="7" t="s">
        <x:v>250</x:v>
      </x:c>
    </x:row>
    <x:row r="37" ht="17">
      <x:c r="A37" s="10" t="s">
        <x:v>251</x:v>
      </x:c>
      <x:c r="B37" s="11">
        <x:v>3300</x:v>
      </x:c>
      <x:c r="C37" s="11">
        <x:v>200</x:v>
      </x:c>
      <x:c r="D37" s="11">
        <x:v>700</x:v>
      </x:c>
      <x:c r="E37" s="11">
        <x:v>900</x:v>
      </x:c>
      <x:c r="F37" s="11">
        <x:v>2500</x:v>
      </x:c>
      <x:c r="G37" s="11">
        <x:v>1400</x:v>
      </x:c>
      <x:c r="H37" s="11">
        <x:v>1000</x:v>
      </x:c>
      <x:c r="I37" s="10" t="s">
        <x:v>252</x:v>
      </x:c>
    </x:row>
    <x:row r="38" ht="17">
      <x:c r="A38" s="10" t="s">
        <x:v>253</x:v>
      </x:c>
      <x:c r="B38" s="11">
        <x:v>200</x:v>
      </x:c>
      <x:c r="C38" s="11">
        <x:v>3300</x:v>
      </x:c>
      <x:c r="D38" s="11">
        <x:v>2200</x:v>
      </x:c>
      <x:c r="E38" s="11">
        <x:v>700</x:v>
      </x:c>
      <x:c r="F38" s="11">
        <x:v>700</x:v>
      </x:c>
      <x:c r="G38" s="11">
        <x:v>500</x:v>
      </x:c>
      <x:c r="H38" s="11">
        <x:v>1400</x:v>
      </x:c>
      <x:c r="I38" s="10" t="s">
        <x:v>254</x:v>
      </x:c>
    </x:row>
    <x:row r="39" ht="17">
      <x:c r="A39" s="10" t="s">
        <x:v>255</x:v>
      </x:c>
      <x:c r="B39" s="11">
        <x:v>200</x:v>
      </x:c>
      <x:c r="C39" s="11">
        <x:v>3000</x:v>
      </x:c>
      <x:c r="D39" s="11">
        <x:v>2600</x:v>
      </x:c>
      <x:c r="E39" s="11">
        <x:v>900</x:v>
      </x:c>
      <x:c r="F39" s="11">
        <x:v>700</x:v>
      </x:c>
      <x:c r="G39" s="11">
        <x:v>500</x:v>
      </x:c>
      <x:c r="H39" s="11">
        <x:v>1100</x:v>
      </x:c>
      <x:c r="I39" s="10" t="s">
        <x:v>256</x:v>
      </x:c>
    </x:row>
    <x:row r="40" ht="17">
      <x:c r="A40" s="10" t="s">
        <x:v>257</x:v>
      </x:c>
      <x:c r="B40" s="11">
        <x:v>200</x:v>
      </x:c>
      <x:c r="C40" s="11">
        <x:v>2700</x:v>
      </x:c>
      <x:c r="D40" s="11">
        <x:v>1700</x:v>
      </x:c>
      <x:c r="E40" s="11">
        <x:v>600</x:v>
      </x:c>
      <x:c r="F40" s="11">
        <x:v>900</x:v>
      </x:c>
      <x:c r="G40" s="11">
        <x:v>600</x:v>
      </x:c>
      <x:c r="H40" s="11">
        <x:v>2200</x:v>
      </x:c>
      <x:c r="I40" s="10" t="s">
        <x:v>258</x:v>
      </x:c>
    </x:row>
    <x:row r="41" ht="17">
      <x:c r="A41" s="10" t="s">
        <x:v>259</x:v>
      </x:c>
      <x:c r="B41" s="11">
        <x:v>200</x:v>
      </x:c>
      <x:c r="C41" s="11">
        <x:v>2500</x:v>
      </x:c>
      <x:c r="D41" s="11">
        <x:v>2200</x:v>
      </x:c>
      <x:c r="E41" s="11">
        <x:v>700</x:v>
      </x:c>
      <x:c r="F41" s="11">
        <x:v>1100</x:v>
      </x:c>
      <x:c r="G41" s="11">
        <x:v>900</x:v>
      </x:c>
      <x:c r="H41" s="11">
        <x:v>1500</x:v>
      </x:c>
      <x:c r="I41" s="10" t="s">
        <x:v>260</x:v>
      </x:c>
    </x:row>
    <x:row r="42" ht="17">
      <x:c r="A42" s="10" t="s">
        <x:v>261</x:v>
      </x:c>
      <x:c r="B42" s="11">
        <x:v>1700</x:v>
      </x:c>
      <x:c r="C42" s="11">
        <x:v>200</x:v>
      </x:c>
      <x:c r="D42" s="11">
        <x:v>3200</x:v>
      </x:c>
      <x:c r="E42" s="11">
        <x:v>2300</x:v>
      </x:c>
      <x:c r="F42" s="11">
        <x:v>700</x:v>
      </x:c>
      <x:c r="G42" s="11">
        <x:v>500</x:v>
      </x:c>
      <x:c r="H42" s="11">
        <x:v>400</x:v>
      </x:c>
      <x:c r="I42" s="10" t="s">
        <x:v>262</x:v>
      </x:c>
    </x:row>
    <x:row r="43" ht="17">
      <x:c r="A43" s="10" t="s">
        <x:v>263</x:v>
      </x:c>
      <x:c r="B43" s="11">
        <x:v>3400</x:v>
      </x:c>
      <x:c r="C43" s="11">
        <x:v>200</x:v>
      </x:c>
      <x:c r="D43" s="11">
        <x:v>900</x:v>
      </x:c>
      <x:c r="E43" s="11">
        <x:v>500</x:v>
      </x:c>
      <x:c r="F43" s="11">
        <x:v>2000</x:v>
      </x:c>
      <x:c r="G43" s="11">
        <x:v>1600</x:v>
      </x:c>
      <x:c r="H43" s="11">
        <x:v>600</x:v>
      </x:c>
      <x:c r="I43" s="10" t="s">
        <x:v>264</x:v>
      </x:c>
    </x:row>
    <x:row r="46" ht="22" customHeight="1">
      <x:c r="A46" s="5" t="s">
        <x:v>265</x:v>
      </x:c>
      <x:c r="B46" s="5"/>
      <x:c r="C46" s="5"/>
      <x:c r="D46" s="5"/>
      <x:c r="E46" s="5"/>
      <x:c r="F46" s="5"/>
      <x:c r="G46" s="5"/>
      <x:c r="H46" s="5"/>
      <x:c r="I46" s="5"/>
    </x:row>
    <x:row r="47">
      <x:c r="A47" s="6" t="s">
        <x:v>266</x:v>
      </x:c>
      <x:c r="B47" s="6"/>
      <x:c r="C47" s="6"/>
      <x:c r="D47" s="6"/>
      <x:c r="E47" s="6"/>
      <x:c r="F47" s="6"/>
      <x:c r="G47" s="6"/>
      <x:c r="H47" s="6"/>
      <x:c r="I47" s="6"/>
    </x:row>
    <x:row r="48" ht="17">
      <x:c r="A48" s="3" t="s">
        <x:v>267</x:v>
      </x:c>
      <x:c r="B48" s="3" t="s">
        <x:v>268</x:v>
      </x:c>
      <x:c r="C48" s="3" t="s">
        <x:v>269</x:v>
      </x:c>
      <x:c r="D48" s="3" t="s">
        <x:v>270</x:v>
      </x:c>
      <x:c r="E48" s="3" t="s">
        <x:v>271</x:v>
      </x:c>
      <x:c r="F48" s="3" t="s">
        <x:v>272</x:v>
      </x:c>
      <x:c r="G48" s="3" t="s">
        <x:v>273</x:v>
      </x:c>
      <x:c r="H48" s="3" t="s">
        <x:v>274</x:v>
      </x:c>
      <x:c r="I48" s="3" t="s">
        <x:v>275</x:v>
      </x:c>
    </x:row>
    <x:row r="49" ht="17">
      <x:c r="A49" s="7" t="s">
        <x:v>276</x:v>
      </x:c>
      <x:c r="B49" s="9">
        <x:v>4</x:v>
      </x:c>
      <x:c r="C49" s="9">
        <x:v>0</x:v>
      </x:c>
      <x:c r="D49" s="9">
        <x:v>1</x:v>
      </x:c>
      <x:c r="E49" s="9">
        <x:v>0</x:v>
      </x:c>
      <x:c r="F49" s="9">
        <x:v>7</x:v>
      </x:c>
      <x:c r="G49" s="9">
        <x:v>8</x:v>
      </x:c>
      <x:c r="H49" s="9">
        <x:v>5</x:v>
      </x:c>
      <x:c r="I49" s="9">
        <x:v>25</x:v>
      </x:c>
    </x:row>
    <x:row r="50" ht="17">
      <x:c r="A50" s="10" t="s">
        <x:v>277</x:v>
      </x:c>
      <x:c r="B50" s="11">
        <x:v>9</x:v>
      </x:c>
      <x:c r="C50" s="11">
        <x:v>0</x:v>
      </x:c>
      <x:c r="D50" s="11">
        <x:v>2</x:v>
      </x:c>
      <x:c r="E50" s="11">
        <x:v>2</x:v>
      </x:c>
      <x:c r="F50" s="11">
        <x:v>6</x:v>
      </x:c>
      <x:c r="G50" s="11">
        <x:v>4</x:v>
      </x:c>
      <x:c r="H50" s="11">
        <x:v>2</x:v>
      </x:c>
      <x:c r="I50" s="11">
        <x:v>25</x:v>
      </x:c>
    </x:row>
    <x:row r="51" ht="17">
      <x:c r="A51" s="10" t="s">
        <x:v>278</x:v>
      </x:c>
      <x:c r="B51" s="11">
        <x:v>0</x:v>
      </x:c>
      <x:c r="C51" s="11">
        <x:v>9</x:v>
      </x:c>
      <x:c r="D51" s="11">
        <x:v>6</x:v>
      </x:c>
      <x:c r="E51" s="11">
        <x:v>3</x:v>
      </x:c>
      <x:c r="F51" s="11">
        <x:v>1</x:v>
      </x:c>
      <x:c r="G51" s="11">
        <x:v>1</x:v>
      </x:c>
      <x:c r="H51" s="11">
        <x:v>5</x:v>
      </x:c>
      <x:c r="I51" s="11">
        <x:v>25</x:v>
      </x:c>
    </x:row>
    <x:row r="52" ht="17">
      <x:c r="A52" s="10" t="s">
        <x:v>279</x:v>
      </x:c>
      <x:c r="B52" s="11">
        <x:v>0</x:v>
      </x:c>
      <x:c r="C52" s="11">
        <x:v>8</x:v>
      </x:c>
      <x:c r="D52" s="11">
        <x:v>8</x:v>
      </x:c>
      <x:c r="E52" s="11">
        <x:v>4</x:v>
      </x:c>
      <x:c r="F52" s="11">
        <x:v>1</x:v>
      </x:c>
      <x:c r="G52" s="11">
        <x:v>1</x:v>
      </x:c>
      <x:c r="H52" s="11">
        <x:v>3</x:v>
      </x:c>
      <x:c r="I52" s="11">
        <x:v>25</x:v>
      </x:c>
    </x:row>
    <x:row r="53" ht="17">
      <x:c r="A53" s="10" t="s">
        <x:v>280</x:v>
      </x:c>
      <x:c r="B53" s="11">
        <x:v>0</x:v>
      </x:c>
      <x:c r="C53" s="11">
        <x:v>7</x:v>
      </x:c>
      <x:c r="D53" s="11">
        <x:v>5</x:v>
      </x:c>
      <x:c r="E53" s="11">
        <x:v>1</x:v>
      </x:c>
      <x:c r="F53" s="11">
        <x:v>2</x:v>
      </x:c>
      <x:c r="G53" s="11">
        <x:v>1</x:v>
      </x:c>
      <x:c r="H53" s="11">
        <x:v>9</x:v>
      </x:c>
      <x:c r="I53" s="11">
        <x:v>25</x:v>
      </x:c>
    </x:row>
    <x:row r="54" ht="17">
      <x:c r="A54" s="10" t="s">
        <x:v>281</x:v>
      </x:c>
      <x:c r="B54" s="11">
        <x:v>0</x:v>
      </x:c>
      <x:c r="C54" s="11">
        <x:v>6</x:v>
      </x:c>
      <x:c r="D54" s="11">
        <x:v>7</x:v>
      </x:c>
      <x:c r="E54" s="11">
        <x:v>2</x:v>
      </x:c>
      <x:c r="F54" s="11">
        <x:v>3</x:v>
      </x:c>
      <x:c r="G54" s="11">
        <x:v>3</x:v>
      </x:c>
      <x:c r="H54" s="11">
        <x:v>4</x:v>
      </x:c>
      <x:c r="I54" s="11">
        <x:v>25</x:v>
      </x:c>
    </x:row>
    <x:row r="55" ht="17">
      <x:c r="A55" s="10" t="s">
        <x:v>282</x:v>
      </x:c>
      <x:c r="B55" s="11">
        <x:v>4</x:v>
      </x:c>
      <x:c r="C55" s="11">
        <x:v>0</x:v>
      </x:c>
      <x:c r="D55" s="11">
        <x:v>9</x:v>
      </x:c>
      <x:c r="E55" s="11">
        <x:v>8</x:v>
      </x:c>
      <x:c r="F55" s="11">
        <x:v>2</x:v>
      </x:c>
      <x:c r="G55" s="11">
        <x:v>1</x:v>
      </x:c>
      <x:c r="H55" s="11">
        <x:v>1</x:v>
      </x:c>
      <x:c r="I55" s="11">
        <x:v>25</x:v>
      </x:c>
    </x:row>
    <x:row r="56" ht="17">
      <x:c r="A56" s="10" t="s">
        <x:v>283</x:v>
      </x:c>
      <x:c r="B56" s="11">
        <x:v>10</x:v>
      </x:c>
      <x:c r="C56" s="11">
        <x:v>0</x:v>
      </x:c>
      <x:c r="D56" s="11">
        <x:v>3</x:v>
      </x:c>
      <x:c r="E56" s="11">
        <x:v>0</x:v>
      </x:c>
      <x:c r="F56" s="11">
        <x:v>6</x:v>
      </x:c>
      <x:c r="G56" s="11">
        <x:v>5</x:v>
      </x:c>
      <x:c r="H56" s="11">
        <x:v>1</x:v>
      </x:c>
      <x:c r="I56" s="11">
        <x:v>25</x:v>
      </x:c>
    </x:row>
    <x:row r="59" ht="22" customHeight="1">
      <x:c r="A59" s="5" t="s">
        <x:v>284</x:v>
      </x:c>
      <x:c r="B59" s="5"/>
      <x:c r="C59" s="5"/>
      <x:c r="D59" s="5"/>
      <x:c r="E59" s="5"/>
      <x:c r="F59" s="5"/>
      <x:c r="G59" s="5"/>
    </x:row>
    <x:row r="60">
      <x:c r="A60" s="6" t="s">
        <x:v>285</x:v>
      </x:c>
      <x:c r="B60" s="6"/>
      <x:c r="C60" s="6"/>
      <x:c r="D60" s="6"/>
      <x:c r="E60" s="6"/>
      <x:c r="F60" s="6"/>
      <x:c r="G60" s="6"/>
    </x:row>
    <x:row r="61" ht="17">
      <x:c r="A61" s="3" t="s">
        <x:v>223</x:v>
      </x:c>
      <x:c r="B61" s="3" t="s">
        <x:v>286</x:v>
      </x:c>
      <x:c r="C61" s="3" t="s">
        <x:v>160</x:v>
      </x:c>
      <x:c r="D61" s="3" t="s">
        <x:v>161</x:v>
      </x:c>
      <x:c r="E61" s="3" t="s">
        <x:v>162</x:v>
      </x:c>
      <x:c r="F61" s="3" t="s">
        <x:v>287</x:v>
      </x:c>
      <x:c r="G61" s="3" t="s">
        <x:v>164</x:v>
      </x:c>
    </x:row>
    <x:row r="62" ht="51">
      <x:c r="A62" s="7" t="s">
        <x:v>225</x:v>
      </x:c>
      <x:c r="B62" s="7" t="s">
        <x:v>288</x:v>
      </x:c>
      <x:c r="C62" s="7" t="s">
        <x:v>289</x:v>
      </x:c>
      <x:c r="D62" s="7" t="s">
        <x:v>290</x:v>
      </x:c>
      <x:c r="E62" s="7" t="s">
        <x:v>291</x:v>
      </x:c>
      <x:c r="F62" s="7" t="s">
        <x:v>292</x:v>
      </x:c>
      <x:c r="G62" s="7" t="s">
        <x:v>293</x:v>
      </x:c>
    </x:row>
    <x:row r="63" ht="51">
      <x:c r="A63" s="10" t="s">
        <x:v>228</x:v>
      </x:c>
      <x:c r="B63" s="10" t="s">
        <x:v>294</x:v>
      </x:c>
      <x:c r="C63" s="10" t="s">
        <x:v>295</x:v>
      </x:c>
      <x:c r="D63" s="10" t="s">
        <x:v>296</x:v>
      </x:c>
      <x:c r="E63" s="10" t="s">
        <x:v>297</x:v>
      </x:c>
      <x:c r="F63" s="10" t="s">
        <x:v>298</x:v>
      </x:c>
      <x:c r="G63" s="10" t="s">
        <x:v>299</x:v>
      </x:c>
    </x:row>
    <x:row r="64" ht="51">
      <x:c r="A64" s="10" t="s">
        <x:v>230</x:v>
      </x:c>
      <x:c r="B64" s="10" t="s">
        <x:v>300</x:v>
      </x:c>
      <x:c r="C64" s="10" t="s">
        <x:v>301</x:v>
      </x:c>
      <x:c r="D64" s="10" t="s">
        <x:v>302</x:v>
      </x:c>
      <x:c r="E64" s="10" t="s">
        <x:v>303</x:v>
      </x:c>
      <x:c r="F64" s="10" t="s">
        <x:v>304</x:v>
      </x:c>
      <x:c r="G64" s="10" t="s">
        <x:v>305</x:v>
      </x:c>
    </x:row>
    <x:row r="65" ht="51">
      <x:c r="A65" s="10" t="s">
        <x:v>232</x:v>
      </x:c>
      <x:c r="B65" s="10" t="s">
        <x:v>306</x:v>
      </x:c>
      <x:c r="C65" s="10" t="s">
        <x:v>307</x:v>
      </x:c>
      <x:c r="D65" s="10" t="s">
        <x:v>308</x:v>
      </x:c>
      <x:c r="E65" s="10" t="s">
        <x:v>309</x:v>
      </x:c>
      <x:c r="F65" s="10" t="s">
        <x:v>310</x:v>
      </x:c>
      <x:c r="G65" s="10" t="s">
        <x:v>311</x:v>
      </x:c>
    </x:row>
    <x:row r="68" ht="22" customHeight="1">
      <x:c r="A68" s="5" t="s">
        <x:v>312</x:v>
      </x:c>
      <x:c r="B68" s="5"/>
      <x:c r="C68" s="5"/>
      <x:c r="D68" s="5"/>
      <x:c r="E68" s="5"/>
    </x:row>
    <x:row r="69">
      <x:c r="A69" s="6" t="s">
        <x:v>313</x:v>
      </x:c>
      <x:c r="B69" s="6"/>
      <x:c r="C69" s="6"/>
      <x:c r="D69" s="6"/>
      <x:c r="E69" s="6"/>
    </x:row>
    <x:row r="70" ht="17">
      <x:c r="A70" s="3" t="s">
        <x:v>314</x:v>
      </x:c>
      <x:c r="B70" s="3" t="s">
        <x:v>161</x:v>
      </x:c>
      <x:c r="C70" s="3" t="s">
        <x:v>162</x:v>
      </x:c>
      <x:c r="D70" s="3" t="s">
        <x:v>163</x:v>
      </x:c>
      <x:c r="E70" s="3" t="s">
        <x:v>164</x:v>
      </x:c>
    </x:row>
    <x:row r="71" ht="51">
      <x:c r="A71" s="7" t="s">
        <x:v>315</x:v>
      </x:c>
      <x:c r="B71" s="7" t="s">
        <x:v>316</x:v>
      </x:c>
      <x:c r="C71" s="7" t="s">
        <x:v>317</x:v>
      </x:c>
      <x:c r="D71" s="7" t="s">
        <x:v>318</x:v>
      </x:c>
      <x:c r="E71" s="7" t="s">
        <x:v>319</x:v>
      </x:c>
    </x:row>
    <x:row r="72" ht="51">
      <x:c r="A72" s="10" t="s">
        <x:v>320</x:v>
      </x:c>
      <x:c r="B72" s="10" t="s">
        <x:v>321</x:v>
      </x:c>
      <x:c r="C72" s="10" t="s">
        <x:v>322</x:v>
      </x:c>
      <x:c r="D72" s="10" t="s">
        <x:v>323</x:v>
      </x:c>
      <x:c r="E72" s="10" t="s">
        <x:v>324</x:v>
      </x:c>
    </x:row>
    <x:row r="73" ht="51">
      <x:c r="A73" s="10" t="s">
        <x:v>325</x:v>
      </x:c>
      <x:c r="B73" s="10" t="s">
        <x:v>326</x:v>
      </x:c>
      <x:c r="C73" s="10" t="s">
        <x:v>327</x:v>
      </x:c>
      <x:c r="D73" s="10" t="s">
        <x:v>328</x:v>
      </x:c>
      <x:c r="E73" s="10" t="s">
        <x:v>329</x:v>
      </x:c>
    </x:row>
    <x:row r="74" ht="51">
      <x:c r="A74" s="10" t="s">
        <x:v>330</x:v>
      </x:c>
      <x:c r="B74" s="10" t="s">
        <x:v>331</x:v>
      </x:c>
      <x:c r="C74" s="10" t="s">
        <x:v>332</x:v>
      </x:c>
      <x:c r="D74" s="10" t="s">
        <x:v>333</x:v>
      </x:c>
      <x:c r="E74" s="10" t="s">
        <x:v>334</x:v>
      </x:c>
    </x:row>
    <x:row r="75" ht="51">
      <x:c r="A75" s="10" t="s">
        <x:v>335</x:v>
      </x:c>
      <x:c r="B75" s="10" t="s">
        <x:v>336</x:v>
      </x:c>
      <x:c r="C75" s="10" t="s">
        <x:v>337</x:v>
      </x:c>
      <x:c r="D75" s="10" t="s">
        <x:v>338</x:v>
      </x:c>
      <x:c r="E75" s="10" t="s">
        <x:v>339</x:v>
      </x:c>
    </x:row>
    <x:row r="76" ht="51">
      <x:c r="A76" s="10" t="s">
        <x:v>340</x:v>
      </x:c>
      <x:c r="B76" s="10" t="s">
        <x:v>341</x:v>
      </x:c>
      <x:c r="C76" s="10" t="s">
        <x:v>342</x:v>
      </x:c>
      <x:c r="D76" s="10" t="s">
        <x:v>343</x:v>
      </x:c>
      <x:c r="E76" s="10" t="s">
        <x:v>344</x:v>
      </x:c>
    </x:row>
    <x:row r="77" ht="51">
      <x:c r="A77" s="10" t="s">
        <x:v>345</x:v>
      </x:c>
      <x:c r="B77" s="10" t="s">
        <x:v>346</x:v>
      </x:c>
      <x:c r="C77" s="10" t="s">
        <x:v>347</x:v>
      </x:c>
      <x:c r="D77" s="10" t="s">
        <x:v>348</x:v>
      </x:c>
      <x:c r="E77" s="10" t="s">
        <x:v>349</x:v>
      </x:c>
    </x:row>
    <x:row r="78" ht="51">
      <x:c r="A78" s="10" t="s">
        <x:v>350</x:v>
      </x:c>
      <x:c r="B78" s="10" t="s">
        <x:v>351</x:v>
      </x:c>
      <x:c r="C78" s="10" t="s">
        <x:v>352</x:v>
      </x:c>
      <x:c r="D78" s="10" t="s">
        <x:v>353</x:v>
      </x:c>
      <x:c r="E78" s="10" t="s">
        <x:v>354</x:v>
      </x:c>
    </x:row>
  </x:sheetData>
  <x:mergeCells>
    <x:mergeCell ref="A1:J1"/>
    <x:mergeCell ref="A2:J2"/>
    <x:mergeCell ref="A4:D4"/>
    <x:mergeCell ref="A5:D5"/>
    <x:mergeCell ref="A15:C15"/>
    <x:mergeCell ref="A16:C16"/>
    <x:mergeCell ref="A24:H24"/>
    <x:mergeCell ref="A25:H25"/>
    <x:mergeCell ref="A33:I33"/>
    <x:mergeCell ref="A34:I34"/>
    <x:mergeCell ref="A46:I46"/>
    <x:mergeCell ref="A47:I47"/>
    <x:mergeCell ref="A59:G59"/>
    <x:mergeCell ref="A60:G60"/>
    <x:mergeCell ref="A68:E68"/>
    <x:mergeCell ref="A69:E69"/>
  </x:mergeCells>
  <x:pageMargins left="0.7" right="0.7" top="0.75" bottom="0.75" header="0.3" footer="0.3"/>
  <x:tableParts count="7">
    <x:tablePart xmlns:r="http://schemas.openxmlformats.org/officeDocument/2006/relationships" r:id="R83967a0cf13e4b45"/>
    <x:tablePart xmlns:r="http://schemas.openxmlformats.org/officeDocument/2006/relationships" r:id="R9aac388521294349"/>
    <x:tablePart xmlns:r="http://schemas.openxmlformats.org/officeDocument/2006/relationships" r:id="R3e0c5cf1025941c7"/>
    <x:tablePart xmlns:r="http://schemas.openxmlformats.org/officeDocument/2006/relationships" r:id="R6c06f5e11d6c4604"/>
    <x:tablePart xmlns:r="http://schemas.openxmlformats.org/officeDocument/2006/relationships" r:id="R00677b76281c4983"/>
    <x:tablePart xmlns:r="http://schemas.openxmlformats.org/officeDocument/2006/relationships" r:id="Rf70bafec73ee4f7d"/>
    <x:tablePart xmlns:r="http://schemas.openxmlformats.org/officeDocument/2006/relationships" r:id="Rac782a7f4f9c4f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8" customWidth="1"/>
    <x:col min="2" max="2" width="58" customWidth="1"/>
    <x:col min="3" max="6" width="18" customWidth="1"/>
    <x:col min="7" max="7" width="22" customWidth="1"/>
    <x:col min="8" max="8" width="28" customWidth="1"/>
    <x:col min="9" max="9" width="24" customWidth="1"/>
  </x:cols>
  <x:sheetData>
    <x:row r="1" ht="30" customHeight="1">
      <x:c r="A1" s="1" t="s">
        <x:v>355</x:v>
      </x:c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">
        <x:v>356</x:v>
      </x:c>
      <x:c r="B2" s="2"/>
      <x:c r="C2" s="2"/>
      <x:c r="D2" s="2"/>
      <x:c r="E2" s="2"/>
      <x:c r="F2" s="2"/>
      <x:c r="G2" s="2"/>
      <x:c r="H2" s="2"/>
      <x:c r="I2" s="2"/>
    </x:row>
    <x:row r="4" ht="22" customHeight="1">
      <x:c r="A4" s="5" t="s">
        <x:v>357</x:v>
      </x:c>
      <x:c r="B4" s="5"/>
      <x:c r="C4" s="5"/>
      <x:c r="D4" s="5"/>
      <x:c r="E4" s="5"/>
      <x:c r="F4" s="5"/>
      <x:c r="G4" s="5"/>
      <x:c r="H4" s="5"/>
      <x:c r="I4" s="5"/>
    </x:row>
    <x:row r="5">
      <x:c r="A5" s="6" t="s">
        <x:v>358</x:v>
      </x:c>
      <x:c r="B5" s="6"/>
      <x:c r="C5" s="6"/>
      <x:c r="D5" s="6"/>
      <x:c r="E5" s="6"/>
      <x:c r="F5" s="6"/>
      <x:c r="G5" s="6"/>
      <x:c r="H5" s="6"/>
      <x:c r="I5" s="6"/>
    </x:row>
    <x:row r="6" ht="17">
      <x:c r="A6" s="3" t="s">
        <x:v>359</x:v>
      </x:c>
      <x:c r="B6" s="3" t="s">
        <x:v>360</x:v>
      </x:c>
      <x:c r="C6" s="3" t="s">
        <x:v>78</x:v>
      </x:c>
    </x:row>
    <x:row r="7" ht="17">
      <x:c r="A7" s="7" t="s">
        <x:v>361</x:v>
      </x:c>
      <x:c r="B7" s="7" t="s">
        <x:v>362</x:v>
      </x:c>
      <x:c r="C7" s="7" t="s">
        <x:v>363</x:v>
      </x:c>
    </x:row>
    <x:row r="8" ht="17">
      <x:c r="A8" s="10" t="s">
        <x:v>364</x:v>
      </x:c>
      <x:c r="B8" s="10" t="s">
        <x:v>365</x:v>
      </x:c>
      <x:c r="C8" s="10" t="s">
        <x:v>366</x:v>
      </x:c>
    </x:row>
    <x:row r="9" ht="17">
      <x:c r="A9" s="10" t="s">
        <x:v>367</x:v>
      </x:c>
      <x:c r="B9" s="10" t="s">
        <x:v>368</x:v>
      </x:c>
      <x:c r="C9" s="10" t="s">
        <x:v>366</x:v>
      </x:c>
    </x:row>
    <x:row r="10" ht="17">
      <x:c r="A10" s="10" t="s">
        <x:v>369</x:v>
      </x:c>
      <x:c r="B10" s="10" t="s">
        <x:v>370</x:v>
      </x:c>
      <x:c r="C10" s="10" t="s">
        <x:v>371</x:v>
      </x:c>
    </x:row>
    <x:row r="11" ht="17">
      <x:c r="A11" s="10" t="s">
        <x:v>372</x:v>
      </x:c>
      <x:c r="B11" s="10" t="s">
        <x:v>373</x:v>
      </x:c>
      <x:c r="C11" s="10" t="s">
        <x:v>371</x:v>
      </x:c>
    </x:row>
    <x:row r="12" ht="17">
      <x:c r="A12" s="10" t="s">
        <x:v>374</x:v>
      </x:c>
      <x:c r="B12" s="10" t="s">
        <x:v>375</x:v>
      </x:c>
      <x:c r="C12" s="10" t="s">
        <x:v>376</x:v>
      </x:c>
    </x:row>
    <x:row r="13" ht="17">
      <x:c r="A13" s="10" t="s">
        <x:v>377</x:v>
      </x:c>
      <x:c r="B13" s="10" t="s">
        <x:v>378</x:v>
      </x:c>
      <x:c r="C13" s="10" t="s">
        <x:v>379</x:v>
      </x:c>
    </x:row>
    <x:row r="14" ht="17">
      <x:c r="A14" s="10" t="s">
        <x:v>380</x:v>
      </x:c>
      <x:c r="B14" s="10" t="s">
        <x:v>381</x:v>
      </x:c>
      <x:c r="C14" s="10" t="s">
        <x:v>371</x:v>
      </x:c>
    </x:row>
    <x:row r="15" ht="17">
      <x:c r="A15" s="10" t="s">
        <x:v>382</x:v>
      </x:c>
      <x:c r="B15" s="10" t="s">
        <x:v>383</x:v>
      </x:c>
      <x:c r="C15" s="10" t="s">
        <x:v>371</x:v>
      </x:c>
    </x:row>
    <x:row r="16" ht="17">
      <x:c r="A16" s="10" t="s">
        <x:v>384</x:v>
      </x:c>
      <x:c r="B16" s="10" t="s">
        <x:v>385</x:v>
      </x:c>
      <x:c r="C16" s="10" t="s">
        <x:v>386</x:v>
      </x:c>
    </x:row>
    <x:row r="17" ht="17">
      <x:c r="A17" s="10" t="s">
        <x:v>387</x:v>
      </x:c>
      <x:c r="B17" s="10" t="s">
        <x:v>388</x:v>
      </x:c>
      <x:c r="C17" s="10" t="s">
        <x:v>371</x:v>
      </x:c>
    </x:row>
    <x:row r="20" ht="22" customHeight="1">
      <x:c r="A20" s="5" t="s">
        <x:v>389</x:v>
      </x:c>
      <x:c r="B20" s="5"/>
      <x:c r="C20" s="5"/>
      <x:c r="D20" s="5"/>
      <x:c r="E20" s="5"/>
      <x:c r="F20" s="5"/>
      <x:c r="G20" s="5"/>
      <x:c r="H20" s="5"/>
    </x:row>
    <x:row r="21">
      <x:c r="A21" s="6" t="s">
        <x:v>390</x:v>
      </x:c>
      <x:c r="B21" s="6"/>
      <x:c r="C21" s="6"/>
      <x:c r="D21" s="6"/>
      <x:c r="E21" s="6"/>
      <x:c r="F21" s="6"/>
      <x:c r="G21" s="6"/>
      <x:c r="H21" s="6"/>
    </x:row>
    <x:row r="22" ht="17">
      <x:c r="A22" s="3" t="s">
        <x:v>391</x:v>
      </x:c>
      <x:c r="B22" s="3" t="s">
        <x:v>392</x:v>
      </x:c>
      <x:c r="C22" s="3" t="s">
        <x:v>393</x:v>
      </x:c>
      <x:c r="D22" s="3" t="s">
        <x:v>394</x:v>
      </x:c>
      <x:c r="E22" s="3" t="s">
        <x:v>395</x:v>
      </x:c>
      <x:c r="F22" s="3" t="s">
        <x:v>396</x:v>
      </x:c>
      <x:c r="G22" s="3" t="s">
        <x:v>397</x:v>
      </x:c>
      <x:c r="H22" s="3" t="s">
        <x:v>398</x:v>
      </x:c>
    </x:row>
    <x:row r="23" ht="17">
      <x:c r="A23" s="7" t="s">
        <x:v>399</x:v>
      </x:c>
      <x:c r="B23" s="7" t="s">
        <x:v>400</x:v>
      </x:c>
      <x:c r="C23" s="7" t="s">
        <x:v>401</x:v>
      </x:c>
      <x:c r="D23" s="7" t="s">
        <x:v>402</x:v>
      </x:c>
      <x:c r="E23" s="7" t="s">
        <x:v>403</x:v>
      </x:c>
      <x:c r="F23" s="7" t="s">
        <x:v>404</x:v>
      </x:c>
      <x:c r="G23" s="7" t="s">
        <x:v>405</x:v>
      </x:c>
      <x:c r="H23" s="7" t="s">
        <x:v>406</x:v>
      </x:c>
    </x:row>
    <x:row r="24" ht="17">
      <x:c r="A24" s="10" t="s">
        <x:v>407</x:v>
      </x:c>
      <x:c r="B24" s="10" t="s">
        <x:v>408</x:v>
      </x:c>
      <x:c r="C24" s="10" t="s">
        <x:v>409</x:v>
      </x:c>
      <x:c r="D24" s="10" t="s">
        <x:v>410</x:v>
      </x:c>
      <x:c r="E24" s="10" t="s">
        <x:v>411</x:v>
      </x:c>
      <x:c r="F24" s="10" t="s">
        <x:v>412</x:v>
      </x:c>
      <x:c r="G24" s="10" t="s">
        <x:v>413</x:v>
      </x:c>
      <x:c r="H24" s="10" t="s">
        <x:v>414</x:v>
      </x:c>
    </x:row>
    <x:row r="25" ht="17">
      <x:c r="A25" s="10" t="s">
        <x:v>415</x:v>
      </x:c>
      <x:c r="B25" s="10" t="s">
        <x:v>416</x:v>
      </x:c>
      <x:c r="C25" s="10" t="s">
        <x:v>417</x:v>
      </x:c>
      <x:c r="D25" s="10" t="s">
        <x:v>418</x:v>
      </x:c>
      <x:c r="E25" s="10" t="s">
        <x:v>419</x:v>
      </x:c>
      <x:c r="F25" s="10" t="s">
        <x:v>420</x:v>
      </x:c>
      <x:c r="G25" s="10" t="s">
        <x:v>421</x:v>
      </x:c>
      <x:c r="H25" s="10" t="s">
        <x:v>422</x:v>
      </x:c>
    </x:row>
    <x:row r="26" ht="17">
      <x:c r="A26" s="10" t="s">
        <x:v>423</x:v>
      </x:c>
      <x:c r="B26" s="10" t="s">
        <x:v>424</x:v>
      </x:c>
      <x:c r="C26" s="10" t="s">
        <x:v>425</x:v>
      </x:c>
      <x:c r="D26" s="10" t="s">
        <x:v>426</x:v>
      </x:c>
      <x:c r="E26" s="10" t="s">
        <x:v>427</x:v>
      </x:c>
      <x:c r="F26" s="10" t="s">
        <x:v>428</x:v>
      </x:c>
      <x:c r="G26" s="10" t="s">
        <x:v>429</x:v>
      </x:c>
      <x:c r="H26" s="10" t="s">
        <x:v>430</x:v>
      </x:c>
    </x:row>
    <x:row r="29" ht="22" customHeight="1">
      <x:c r="A29" s="5" t="s">
        <x:v>431</x:v>
      </x:c>
      <x:c r="B29" s="5"/>
      <x:c r="C29" s="5"/>
    </x:row>
    <x:row r="30">
      <x:c r="A30" s="6" t="s">
        <x:v>432</x:v>
      </x:c>
      <x:c r="B30" s="6"/>
      <x:c r="C30" s="6"/>
    </x:row>
    <x:row r="31" ht="17">
      <x:c r="A31" s="3" t="s">
        <x:v>136</x:v>
      </x:c>
      <x:c r="B31" s="3" t="s">
        <x:v>433</x:v>
      </x:c>
      <x:c r="C31" s="3" t="s">
        <x:v>434</x:v>
      </x:c>
    </x:row>
    <x:row r="32" ht="34">
      <x:c r="A32" s="7" t="s">
        <x:v>435</x:v>
      </x:c>
      <x:c r="B32" s="7" t="s">
        <x:v>436</x:v>
      </x:c>
      <x:c r="C32" s="7" t="s">
        <x:v>437</x:v>
      </x:c>
    </x:row>
    <x:row r="33" ht="34">
      <x:c r="A33" s="10" t="s">
        <x:v>438</x:v>
      </x:c>
      <x:c r="B33" s="10" t="s">
        <x:v>439</x:v>
      </x:c>
      <x:c r="C33" s="10" t="s">
        <x:v>440</x:v>
      </x:c>
    </x:row>
    <x:row r="34" ht="17">
      <x:c r="A34" s="10" t="s">
        <x:v>441</x:v>
      </x:c>
      <x:c r="B34" s="10" t="s">
        <x:v>442</x:v>
      </x:c>
      <x:c r="C34" s="10" t="s">
        <x:v>443</x:v>
      </x:c>
    </x:row>
    <x:row r="35" ht="34">
      <x:c r="A35" s="10" t="s">
        <x:v>444</x:v>
      </x:c>
      <x:c r="B35" s="10" t="s">
        <x:v>445</x:v>
      </x:c>
      <x:c r="C35" s="10" t="s">
        <x:v>446</x:v>
      </x:c>
    </x:row>
    <x:row r="36" ht="17">
      <x:c r="A36" s="10" t="s">
        <x:v>447</x:v>
      </x:c>
      <x:c r="B36" s="10" t="s">
        <x:v>448</x:v>
      </x:c>
      <x:c r="C36" s="10" t="s">
        <x:v>449</x:v>
      </x:c>
    </x:row>
    <x:row r="37" ht="34">
      <x:c r="A37" s="10" t="s">
        <x:v>450</x:v>
      </x:c>
      <x:c r="B37" s="10" t="s">
        <x:v>451</x:v>
      </x:c>
      <x:c r="C37" s="10" t="s">
        <x:v>452</x:v>
      </x:c>
    </x:row>
    <x:row r="38" ht="34">
      <x:c r="A38" s="10" t="s">
        <x:v>453</x:v>
      </x:c>
      <x:c r="B38" s="10" t="s">
        <x:v>454</x:v>
      </x:c>
      <x:c r="C38" s="10" t="s">
        <x:v>455</x:v>
      </x:c>
    </x:row>
    <x:row r="39" ht="34">
      <x:c r="A39" s="10" t="s">
        <x:v>456</x:v>
      </x:c>
      <x:c r="B39" s="10" t="s">
        <x:v>457</x:v>
      </x:c>
      <x:c r="C39" s="10" t="s">
        <x:v>458</x:v>
      </x:c>
    </x:row>
    <x:row r="40" ht="34">
      <x:c r="A40" s="10" t="s">
        <x:v>459</x:v>
      </x:c>
      <x:c r="B40" s="10" t="s">
        <x:v>460</x:v>
      </x:c>
      <x:c r="C40" s="10" t="s">
        <x:v>461</x:v>
      </x:c>
    </x:row>
    <x:row r="41" ht="34">
      <x:c r="A41" s="10" t="s">
        <x:v>462</x:v>
      </x:c>
      <x:c r="B41" s="10" t="s">
        <x:v>463</x:v>
      </x:c>
      <x:c r="C41" s="10" t="s">
        <x:v>464</x:v>
      </x:c>
    </x:row>
    <x:row r="42" ht="68">
      <x:c r="A42" s="10" t="s">
        <x:v>465</x:v>
      </x:c>
      <x:c r="B42" s="10" t="s">
        <x:v>466</x:v>
      </x:c>
      <x:c r="C42" s="10" t="s">
        <x:v>467</x:v>
      </x:c>
    </x:row>
    <x:row r="43" ht="34">
      <x:c r="A43" s="10" t="s">
        <x:v>468</x:v>
      </x:c>
      <x:c r="B43" s="10" t="s">
        <x:v>469</x:v>
      </x:c>
      <x:c r="C43" s="10" t="s">
        <x:v>470</x:v>
      </x:c>
    </x:row>
    <x:row r="44" ht="17">
      <x:c r="A44" s="10" t="s">
        <x:v>471</x:v>
      </x:c>
      <x:c r="B44" s="10" t="s">
        <x:v>472</x:v>
      </x:c>
      <x:c r="C44" s="10" t="s">
        <x:v>473</x:v>
      </x:c>
    </x:row>
    <x:row r="45" ht="17">
      <x:c r="A45" s="10" t="s">
        <x:v>474</x:v>
      </x:c>
      <x:c r="B45" s="10" t="s">
        <x:v>475</x:v>
      </x:c>
      <x:c r="C45" s="10" t="s">
        <x:v>476</x:v>
      </x:c>
    </x:row>
    <x:row r="46" ht="34">
      <x:c r="A46" s="10" t="s">
        <x:v>477</x:v>
      </x:c>
      <x:c r="B46" s="10" t="s">
        <x:v>478</x:v>
      </x:c>
      <x:c r="C46" s="10" t="s">
        <x:v>479</x:v>
      </x:c>
    </x:row>
    <x:row r="47" ht="17">
      <x:c r="A47" s="10" t="s">
        <x:v>480</x:v>
      </x:c>
      <x:c r="B47" s="10" t="s">
        <x:v>481</x:v>
      </x:c>
      <x:c r="C47" s="10" t="s">
        <x:v>482</x:v>
      </x:c>
    </x:row>
    <x:row r="48" ht="51">
      <x:c r="A48" s="10" t="s">
        <x:v>483</x:v>
      </x:c>
      <x:c r="B48" s="10" t="s">
        <x:v>484</x:v>
      </x:c>
      <x:c r="C48" s="10" t="s">
        <x:v>485</x:v>
      </x:c>
    </x:row>
    <x:row r="49" ht="34">
      <x:c r="A49" s="10" t="s">
        <x:v>486</x:v>
      </x:c>
      <x:c r="B49" s="10" t="s">
        <x:v>487</x:v>
      </x:c>
      <x:c r="C49" s="10" t="s">
        <x:v>488</x:v>
      </x:c>
    </x:row>
    <x:row r="50" ht="34">
      <x:c r="A50" s="10" t="s">
        <x:v>489</x:v>
      </x:c>
      <x:c r="B50" s="10" t="s">
        <x:v>490</x:v>
      </x:c>
      <x:c r="C50" s="10" t="s">
        <x:v>491</x:v>
      </x:c>
    </x:row>
    <x:row r="53" ht="22" customHeight="1">
      <x:c r="A53" s="5" t="s">
        <x:v>492</x:v>
      </x:c>
      <x:c r="B53" s="5"/>
      <x:c r="C53" s="5"/>
      <x:c r="D53" s="5"/>
      <x:c r="E53" s="5"/>
      <x:c r="F53" s="5"/>
    </x:row>
    <x:row r="54">
      <x:c r="A54" s="6" t="s">
        <x:v>493</x:v>
      </x:c>
      <x:c r="B54" s="6"/>
      <x:c r="C54" s="6"/>
      <x:c r="D54" s="6"/>
      <x:c r="E54" s="6"/>
      <x:c r="F54" s="6"/>
    </x:row>
    <x:row r="55" ht="17">
      <x:c r="A55" s="3" t="s">
        <x:v>494</x:v>
      </x:c>
      <x:c r="B55" s="3" t="s">
        <x:v>399</x:v>
      </x:c>
      <x:c r="C55" s="3" t="s">
        <x:v>407</x:v>
      </x:c>
      <x:c r="D55" s="3" t="s">
        <x:v>415</x:v>
      </x:c>
      <x:c r="E55" s="3" t="s">
        <x:v>423</x:v>
      </x:c>
      <x:c r="F55" s="3" t="s">
        <x:v>275</x:v>
      </x:c>
    </x:row>
    <x:row r="56" ht="17">
      <x:c r="A56" s="7" t="s">
        <x:v>495</x:v>
      </x:c>
      <x:c r="B56" s="9">
        <x:v>400</x:v>
      </x:c>
      <x:c r="C56" s="9">
        <x:v>900</x:v>
      </x:c>
      <x:c r="D56" s="9">
        <x:v>2600</x:v>
      </x:c>
      <x:c r="E56" s="9">
        <x:v>3600</x:v>
      </x:c>
      <x:c r="F56" s="9">
        <x:v>7500</x:v>
      </x:c>
    </x:row>
    <x:row r="57" ht="17">
      <x:c r="A57" s="10" t="s">
        <x:v>496</x:v>
      </x:c>
      <x:c r="B57" s="11">
        <x:v>200</x:v>
      </x:c>
      <x:c r="C57" s="11">
        <x:v>700</x:v>
      </x:c>
      <x:c r="D57" s="11">
        <x:v>1800</x:v>
      </x:c>
      <x:c r="E57" s="11">
        <x:v>4000</x:v>
      </x:c>
      <x:c r="F57" s="11">
        <x:v>6700</x:v>
      </x:c>
    </x:row>
    <x:row r="58" ht="17">
      <x:c r="A58" s="10" t="s">
        <x:v>497</x:v>
      </x:c>
      <x:c r="B58" s="11">
        <x:v>250</x:v>
      </x:c>
      <x:c r="C58" s="11">
        <x:v>500</x:v>
      </x:c>
      <x:c r="D58" s="11">
        <x:v>1300</x:v>
      </x:c>
      <x:c r="E58" s="11">
        <x:v>1800</x:v>
      </x:c>
      <x:c r="F58" s="11">
        <x:v>3850</x:v>
      </x:c>
    </x:row>
    <x:row r="59" ht="17">
      <x:c r="A59" s="10" t="s">
        <x:v>498</x:v>
      </x:c>
      <x:c r="B59" s="11">
        <x:v>350</x:v>
      </x:c>
      <x:c r="C59" s="11">
        <x:v>750</x:v>
      </x:c>
      <x:c r="D59" s="11">
        <x:v>1500</x:v>
      </x:c>
      <x:c r="E59" s="11">
        <x:v>2100</x:v>
      </x:c>
      <x:c r="F59" s="11">
        <x:v>4700</x:v>
      </x:c>
    </x:row>
    <x:row r="60" ht="17">
      <x:c r="A60" s="10" t="s">
        <x:v>499</x:v>
      </x:c>
      <x:c r="B60" s="11">
        <x:v>250</x:v>
      </x:c>
      <x:c r="C60" s="11">
        <x:v>450</x:v>
      </x:c>
      <x:c r="D60" s="11">
        <x:v>750</x:v>
      </x:c>
      <x:c r="E60" s="11">
        <x:v>950</x:v>
      </x:c>
      <x:c r="F60" s="11">
        <x:v>2400</x:v>
      </x:c>
    </x:row>
    <x:row r="61" ht="17">
      <x:c r="A61" s="10" t="s">
        <x:v>275</x:v>
      </x:c>
      <x:c r="B61" s="11">
        <x:v>1450</x:v>
      </x:c>
      <x:c r="C61" s="11">
        <x:v>3300</x:v>
      </x:c>
      <x:c r="D61" s="11">
        <x:v>7950</x:v>
      </x:c>
      <x:c r="E61" s="11">
        <x:v>12450</x:v>
      </x:c>
      <x:c r="F61" s="11">
        <x:v>25150</x:v>
      </x:c>
    </x:row>
    <x:row r="64" ht="22" customHeight="1">
      <x:c r="A64" s="5" t="s">
        <x:v>500</x:v>
      </x:c>
      <x:c r="B64" s="5"/>
      <x:c r="C64" s="5"/>
      <x:c r="D64" s="5"/>
    </x:row>
    <x:row r="65">
      <x:c r="A65" s="6" t="s">
        <x:v>501</x:v>
      </x:c>
      <x:c r="B65" s="6"/>
      <x:c r="C65" s="6"/>
      <x:c r="D65" s="6"/>
    </x:row>
    <x:row r="66" ht="17">
      <x:c r="A66" s="3" t="s">
        <x:v>502</x:v>
      </x:c>
      <x:c r="B66" s="3" t="s">
        <x:v>503</x:v>
      </x:c>
      <x:c r="C66" s="3" t="s">
        <x:v>504</x:v>
      </x:c>
      <x:c r="D66" s="3" t="s">
        <x:v>505</x:v>
      </x:c>
    </x:row>
    <x:row r="67" ht="17">
      <x:c r="A67" s="9">
        <x:v>1</x:v>
      </x:c>
      <x:c r="B67" s="7" t="s">
        <x:v>506</x:v>
      </x:c>
      <x:c r="C67" s="7" t="s">
        <x:v>507</x:v>
      </x:c>
      <x:c r="D67" s="7" t="s">
        <x:v>508</x:v>
      </x:c>
    </x:row>
    <x:row r="68" ht="17">
      <x:c r="A68" s="11">
        <x:v>2</x:v>
      </x:c>
      <x:c r="B68" s="10" t="s">
        <x:v>509</x:v>
      </x:c>
      <x:c r="C68" s="10" t="s">
        <x:v>510</x:v>
      </x:c>
      <x:c r="D68" s="10" t="s">
        <x:v>511</x:v>
      </x:c>
    </x:row>
    <x:row r="69" ht="17">
      <x:c r="A69" s="11">
        <x:v>3</x:v>
      </x:c>
      <x:c r="B69" s="10" t="s">
        <x:v>512</x:v>
      </x:c>
      <x:c r="C69" s="10" t="s">
        <x:v>513</x:v>
      </x:c>
      <x:c r="D69" s="10" t="s">
        <x:v>514</x:v>
      </x:c>
    </x:row>
    <x:row r="70" ht="17">
      <x:c r="A70" s="11">
        <x:v>4</x:v>
      </x:c>
      <x:c r="B70" s="10" t="s">
        <x:v>515</x:v>
      </x:c>
      <x:c r="C70" s="10" t="s">
        <x:v>516</x:v>
      </x:c>
      <x:c r="D70" s="10" t="s">
        <x:v>517</x:v>
      </x:c>
    </x:row>
  </x:sheetData>
  <x:mergeCells>
    <x:mergeCell ref="A1:I1"/>
    <x:mergeCell ref="A2:I2"/>
    <x:mergeCell ref="A4:I4"/>
    <x:mergeCell ref="A5:I5"/>
    <x:mergeCell ref="A20:H20"/>
    <x:mergeCell ref="A21:H21"/>
    <x:mergeCell ref="A29:C29"/>
    <x:mergeCell ref="A30:C30"/>
    <x:mergeCell ref="A53:F53"/>
    <x:mergeCell ref="A54:F54"/>
    <x:mergeCell ref="A64:D64"/>
    <x:mergeCell ref="A65:D65"/>
  </x:mergeCells>
  <x:pageMargins left="0.7" right="0.7" top="0.75" bottom="0.75" header="0.3" footer="0.3"/>
  <x:tableParts count="5">
    <x:tablePart xmlns:r="http://schemas.openxmlformats.org/officeDocument/2006/relationships" r:id="R5d226cd442214f51"/>
    <x:tablePart xmlns:r="http://schemas.openxmlformats.org/officeDocument/2006/relationships" r:id="R1429b200d27d4ae9"/>
    <x:tablePart xmlns:r="http://schemas.openxmlformats.org/officeDocument/2006/relationships" r:id="Ra503afd4a8674a77"/>
    <x:tablePart xmlns:r="http://schemas.openxmlformats.org/officeDocument/2006/relationships" r:id="R393bd2bc893c4e71"/>
    <x:tablePart xmlns:r="http://schemas.openxmlformats.org/officeDocument/2006/relationships" r:id="Rb57aee0afefd4a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3" customWidth="1"/>
    <x:col min="2" max="2" width="16" customWidth="1"/>
    <x:col min="3" max="3" width="24" customWidth="1"/>
    <x:col min="4" max="4" width="28" customWidth="1"/>
    <x:col min="5" max="5" width="18" customWidth="1"/>
    <x:col min="6" max="6" width="16" customWidth="1"/>
    <x:col min="7" max="7" width="12" customWidth="1"/>
    <x:col min="8" max="8" width="13" customWidth="1"/>
    <x:col min="9" max="9" width="12" customWidth="1"/>
    <x:col min="10" max="10" width="13" customWidth="1"/>
    <x:col min="11" max="11" width="54" customWidth="1"/>
    <x:col min="12" max="12" width="12" customWidth="1"/>
    <x:col min="13" max="13" width="13" customWidth="1"/>
    <x:col min="14" max="14" width="12" customWidth="1"/>
    <x:col min="15" max="15" width="13" customWidth="1"/>
    <x:col min="16" max="16" width="54" customWidth="1"/>
    <x:col min="17" max="17" width="36" customWidth="1"/>
  </x:cols>
  <x:sheetData>
    <x:row r="1" ht="30" customHeight="1">
      <x:c r="A1" s="1" t="s">
        <x:v>518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2" t="s">
        <x:v>519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4" ht="17">
      <x:c r="A4" s="3" t="s">
        <x:v>391</x:v>
      </x:c>
      <x:c r="B4" s="3" t="s">
        <x:v>224</x:v>
      </x:c>
      <x:c r="C4" s="3" t="s">
        <x:v>520</x:v>
      </x:c>
      <x:c r="D4" s="3" t="s">
        <x:v>521</x:v>
      </x:c>
      <x:c r="E4" s="3" t="s">
        <x:v>522</x:v>
      </x:c>
      <x:c r="F4" s="3" t="s">
        <x:v>523</x:v>
      </x:c>
      <x:c r="G4" s="3" t="s">
        <x:v>524</x:v>
      </x:c>
      <x:c r="H4" s="3" t="s">
        <x:v>525</x:v>
      </x:c>
      <x:c r="I4" s="3" t="s">
        <x:v>526</x:v>
      </x:c>
      <x:c r="J4" s="3" t="s">
        <x:v>527</x:v>
      </x:c>
      <x:c r="K4" s="3" t="s">
        <x:v>528</x:v>
      </x:c>
      <x:c r="L4" s="3" t="s">
        <x:v>529</x:v>
      </x:c>
      <x:c r="M4" s="3" t="s">
        <x:v>530</x:v>
      </x:c>
      <x:c r="N4" s="3" t="s">
        <x:v>531</x:v>
      </x:c>
      <x:c r="O4" s="3" t="s">
        <x:v>532</x:v>
      </x:c>
      <x:c r="P4" s="3" t="s">
        <x:v>533</x:v>
      </x:c>
      <x:c r="Q4" s="3" t="s">
        <x:v>79</x:v>
      </x:c>
    </x:row>
    <x:row r="5" ht="17">
      <x:c r="A5" s="19" t="s">
        <x:v>177</x:v>
      </x:c>
      <x:c r="B5" s="19" t="s">
        <x:v>226</x:v>
      </x:c>
      <x:c r="C5" s="19" t="s">
        <x:v>226</x:v>
      </x:c>
      <x:c r="D5" s="19" t="s">
        <x:v>534</x:v>
      </x:c>
      <x:c r="E5" s="19" t="s">
        <x:v>535</x:v>
      </x:c>
      <x:c r="F5" s="19" t="s">
        <x:v>536</x:v>
      </x:c>
      <x:c r="G5" s="20">
        <x:v>24</x:v>
      </x:c>
      <x:c r="H5" s="20">
        <x:v>0</x:v>
      </x:c>
      <x:c r="I5" s="24" t="n">
        <x:f>IF(G5="","",G5/'01_关键参数'!$C$5)</x:f>
        <x:v>1.2</x:v>
      </x:c>
      <x:c r="J5" s="24" t="str">
        <x:f>IF(H5="","",H5/'01_关键参数'!$C$5)</x:f>
      </x:c>
      <x:c r="K5" s="19" t="s">
        <x:v>537</x:v>
      </x:c>
      <x:c r="L5" s="20"/>
      <x:c r="M5" s="20"/>
      <x:c r="N5" s="24" t="str">
        <x:f>IF(L5="","",L5/'01_关键参数'!$C$5)</x:f>
      </x:c>
      <x:c r="O5" s="24" t="str">
        <x:f>IF(M5="","",M5/'01_关键参数'!$C$5)</x:f>
      </x:c>
      <x:c r="P5" s="19" t="s">
        <x:v>538</x:v>
      </x:c>
      <x:c r="Q5" s="19" t="s">
        <x:v>539</x:v>
      </x:c>
    </x:row>
    <x:row r="6" ht="17">
      <x:c r="A6" s="19" t="s">
        <x:v>177</x:v>
      </x:c>
      <x:c r="B6" s="19" t="s">
        <x:v>226</x:v>
      </x:c>
      <x:c r="C6" s="19" t="s">
        <x:v>226</x:v>
      </x:c>
      <x:c r="D6" s="19" t="s">
        <x:v>540</x:v>
      </x:c>
      <x:c r="E6" s="19" t="s">
        <x:v>541</x:v>
      </x:c>
      <x:c r="F6" s="19" t="s">
        <x:v>542</x:v>
      </x:c>
      <x:c r="G6" s="20">
        <x:v>28</x:v>
      </x:c>
      <x:c r="H6" s="20">
        <x:v>120</x:v>
      </x:c>
      <x:c r="I6" s="24" t="n">
        <x:f>IF(G6="","",G6/'01_关键参数'!$C$5)</x:f>
        <x:v>1.4</x:v>
      </x:c>
      <x:c r="J6" s="24" t="n">
        <x:f>IF(H6="","",H6/'01_关键参数'!$C$5)</x:f>
        <x:v>6</x:v>
      </x:c>
      <x:c r="K6" s="19" t="s">
        <x:v>543</x:v>
      </x:c>
      <x:c r="L6" s="20"/>
      <x:c r="M6" s="20"/>
      <x:c r="N6" s="24" t="str">
        <x:f>IF(L6="","",L6/'01_关键参数'!$C$5)</x:f>
      </x:c>
      <x:c r="O6" s="24" t="str">
        <x:f>IF(M6="","",M6/'01_关键参数'!$C$5)</x:f>
      </x:c>
      <x:c r="P6" s="19" t="s">
        <x:v>538</x:v>
      </x:c>
      <x:c r="Q6" s="19" t="s">
        <x:v>539</x:v>
      </x:c>
    </x:row>
    <x:row r="7" ht="17">
      <x:c r="A7" s="19" t="s">
        <x:v>177</x:v>
      </x:c>
      <x:c r="B7" s="19" t="s">
        <x:v>226</x:v>
      </x:c>
      <x:c r="C7" s="19" t="s">
        <x:v>226</x:v>
      </x:c>
      <x:c r="D7" s="19" t="s">
        <x:v>544</x:v>
      </x:c>
      <x:c r="E7" s="19" t="s">
        <x:v>545</x:v>
      </x:c>
      <x:c r="F7" s="19" t="s">
        <x:v>542</x:v>
      </x:c>
      <x:c r="G7" s="20">
        <x:v>26</x:v>
      </x:c>
      <x:c r="H7" s="20">
        <x:v>160</x:v>
      </x:c>
      <x:c r="I7" s="24" t="n">
        <x:f>IF(G7="","",G7/'01_关键参数'!$C$5)</x:f>
        <x:v>1.3</x:v>
      </x:c>
      <x:c r="J7" s="24" t="n">
        <x:f>IF(H7="","",H7/'01_关键参数'!$C$5)</x:f>
        <x:v>8</x:v>
      </x:c>
      <x:c r="K7" s="19" t="s">
        <x:v>546</x:v>
      </x:c>
      <x:c r="L7" s="20"/>
      <x:c r="M7" s="20"/>
      <x:c r="N7" s="24" t="str">
        <x:f>IF(L7="","",L7/'01_关键参数'!$C$5)</x:f>
      </x:c>
      <x:c r="O7" s="24" t="str">
        <x:f>IF(M7="","",M7/'01_关键参数'!$C$5)</x:f>
      </x:c>
      <x:c r="P7" s="19" t="s">
        <x:v>538</x:v>
      </x:c>
      <x:c r="Q7" s="19" t="s">
        <x:v>539</x:v>
      </x:c>
    </x:row>
    <x:row r="8" ht="17">
      <x:c r="A8" s="19" t="s">
        <x:v>177</x:v>
      </x:c>
      <x:c r="B8" s="19" t="s">
        <x:v>229</x:v>
      </x:c>
      <x:c r="C8" s="19" t="s">
        <x:v>229</x:v>
      </x:c>
      <x:c r="D8" s="19" t="s">
        <x:v>547</x:v>
      </x:c>
      <x:c r="E8" s="19" t="s">
        <x:v>548</x:v>
      </x:c>
      <x:c r="F8" s="19" t="s">
        <x:v>536</x:v>
      </x:c>
      <x:c r="G8" s="20">
        <x:v>22</x:v>
      </x:c>
      <x:c r="H8" s="20">
        <x:v>0</x:v>
      </x:c>
      <x:c r="I8" s="24" t="n">
        <x:f>IF(G8="","",G8/'01_关键参数'!$C$5)</x:f>
        <x:v>1.1</x:v>
      </x:c>
      <x:c r="J8" s="24" t="str">
        <x:f>IF(H8="","",H8/'01_关键参数'!$C$5)</x:f>
      </x:c>
      <x:c r="K8" s="19" t="s">
        <x:v>549</x:v>
      </x:c>
      <x:c r="L8" s="20"/>
      <x:c r="M8" s="20"/>
      <x:c r="N8" s="24" t="str">
        <x:f>IF(L8="","",L8/'01_关键参数'!$C$5)</x:f>
      </x:c>
      <x:c r="O8" s="24" t="str">
        <x:f>IF(M8="","",M8/'01_关键参数'!$C$5)</x:f>
      </x:c>
      <x:c r="P8" s="19" t="s">
        <x:v>538</x:v>
      </x:c>
      <x:c r="Q8" s="19" t="s">
        <x:v>550</x:v>
      </x:c>
    </x:row>
    <x:row r="9" ht="17">
      <x:c r="A9" s="19" t="s">
        <x:v>177</x:v>
      </x:c>
      <x:c r="B9" s="19" t="s">
        <x:v>229</x:v>
      </x:c>
      <x:c r="C9" s="19" t="s">
        <x:v>229</x:v>
      </x:c>
      <x:c r="D9" s="19" t="s">
        <x:v>551</x:v>
      </x:c>
      <x:c r="E9" s="19" t="s">
        <x:v>552</x:v>
      </x:c>
      <x:c r="F9" s="19" t="s">
        <x:v>553</x:v>
      </x:c>
      <x:c r="G9" s="20">
        <x:v>34</x:v>
      </x:c>
      <x:c r="H9" s="20">
        <x:v>140</x:v>
      </x:c>
      <x:c r="I9" s="24" t="n">
        <x:f>IF(G9="","",G9/'01_关键参数'!$C$5)</x:f>
        <x:v>1.7</x:v>
      </x:c>
      <x:c r="J9" s="24" t="n">
        <x:f>IF(H9="","",H9/'01_关键参数'!$C$5)</x:f>
        <x:v>7</x:v>
      </x:c>
      <x:c r="K9" s="19" t="s">
        <x:v>554</x:v>
      </x:c>
      <x:c r="L9" s="20"/>
      <x:c r="M9" s="20"/>
      <x:c r="N9" s="24" t="str">
        <x:f>IF(L9="","",L9/'01_关键参数'!$C$5)</x:f>
      </x:c>
      <x:c r="O9" s="24" t="str">
        <x:f>IF(M9="","",M9/'01_关键参数'!$C$5)</x:f>
      </x:c>
      <x:c r="P9" s="19" t="s">
        <x:v>538</x:v>
      </x:c>
      <x:c r="Q9" s="19" t="s">
        <x:v>550</x:v>
      </x:c>
    </x:row>
    <x:row r="10" ht="17">
      <x:c r="A10" s="19" t="s">
        <x:v>177</x:v>
      </x:c>
      <x:c r="B10" s="19" t="s">
        <x:v>229</x:v>
      </x:c>
      <x:c r="C10" s="19" t="s">
        <x:v>229</x:v>
      </x:c>
      <x:c r="D10" s="19" t="s">
        <x:v>555</x:v>
      </x:c>
      <x:c r="E10" s="19" t="s">
        <x:v>556</x:v>
      </x:c>
      <x:c r="F10" s="19" t="s">
        <x:v>557</x:v>
      </x:c>
      <x:c r="G10" s="20">
        <x:v>32</x:v>
      </x:c>
      <x:c r="H10" s="20">
        <x:v>150</x:v>
      </x:c>
      <x:c r="I10" s="24" t="n">
        <x:f>IF(G10="","",G10/'01_关键参数'!$C$5)</x:f>
        <x:v>1.6</x:v>
      </x:c>
      <x:c r="J10" s="24" t="n">
        <x:f>IF(H10="","",H10/'01_关键参数'!$C$5)</x:f>
        <x:v>7.5</x:v>
      </x:c>
      <x:c r="K10" s="19" t="s">
        <x:v>558</x:v>
      </x:c>
      <x:c r="L10" s="20"/>
      <x:c r="M10" s="20"/>
      <x:c r="N10" s="24" t="str">
        <x:f>IF(L10="","",L10/'01_关键参数'!$C$5)</x:f>
      </x:c>
      <x:c r="O10" s="24" t="str">
        <x:f>IF(M10="","",M10/'01_关键参数'!$C$5)</x:f>
      </x:c>
      <x:c r="P10" s="19" t="s">
        <x:v>538</x:v>
      </x:c>
      <x:c r="Q10" s="19" t="s">
        <x:v>550</x:v>
      </x:c>
    </x:row>
    <x:row r="11" ht="17">
      <x:c r="A11" s="19" t="s">
        <x:v>177</x:v>
      </x:c>
      <x:c r="B11" s="19" t="s">
        <x:v>231</x:v>
      </x:c>
      <x:c r="C11" s="19" t="s">
        <x:v>231</x:v>
      </x:c>
      <x:c r="D11" s="19" t="s">
        <x:v>559</x:v>
      </x:c>
      <x:c r="E11" s="19" t="s">
        <x:v>560</x:v>
      </x:c>
      <x:c r="F11" s="19" t="s">
        <x:v>536</x:v>
      </x:c>
      <x:c r="G11" s="20">
        <x:v>23</x:v>
      </x:c>
      <x:c r="H11" s="20">
        <x:v>0</x:v>
      </x:c>
      <x:c r="I11" s="24" t="n">
        <x:f>IF(G11="","",G11/'01_关键参数'!$C$5)</x:f>
        <x:v>1.15</x:v>
      </x:c>
      <x:c r="J11" s="24" t="str">
        <x:f>IF(H11="","",H11/'01_关键参数'!$C$5)</x:f>
      </x:c>
      <x:c r="K11" s="19" t="s">
        <x:v>561</x:v>
      </x:c>
      <x:c r="L11" s="20"/>
      <x:c r="M11" s="20"/>
      <x:c r="N11" s="24" t="str">
        <x:f>IF(L11="","",L11/'01_关键参数'!$C$5)</x:f>
      </x:c>
      <x:c r="O11" s="24" t="str">
        <x:f>IF(M11="","",M11/'01_关键参数'!$C$5)</x:f>
      </x:c>
      <x:c r="P11" s="19" t="s">
        <x:v>538</x:v>
      </x:c>
      <x:c r="Q11" s="19" t="s">
        <x:v>562</x:v>
      </x:c>
    </x:row>
    <x:row r="12" ht="17">
      <x:c r="A12" s="19" t="s">
        <x:v>177</x:v>
      </x:c>
      <x:c r="B12" s="19" t="s">
        <x:v>231</x:v>
      </x:c>
      <x:c r="C12" s="19" t="s">
        <x:v>231</x:v>
      </x:c>
      <x:c r="D12" s="19" t="s">
        <x:v>563</x:v>
      </x:c>
      <x:c r="E12" s="19" t="s">
        <x:v>564</x:v>
      </x:c>
      <x:c r="F12" s="19" t="s">
        <x:v>557</x:v>
      </x:c>
      <x:c r="G12" s="20">
        <x:v>32</x:v>
      </x:c>
      <x:c r="H12" s="20">
        <x:v>150</x:v>
      </x:c>
      <x:c r="I12" s="24" t="n">
        <x:f>IF(G12="","",G12/'01_关键参数'!$C$5)</x:f>
        <x:v>1.6</x:v>
      </x:c>
      <x:c r="J12" s="24" t="n">
        <x:f>IF(H12="","",H12/'01_关键参数'!$C$5)</x:f>
        <x:v>7.5</x:v>
      </x:c>
      <x:c r="K12" s="19" t="s">
        <x:v>565</x:v>
      </x:c>
      <x:c r="L12" s="20"/>
      <x:c r="M12" s="20"/>
      <x:c r="N12" s="24" t="str">
        <x:f>IF(L12="","",L12/'01_关键参数'!$C$5)</x:f>
      </x:c>
      <x:c r="O12" s="24" t="str">
        <x:f>IF(M12="","",M12/'01_关键参数'!$C$5)</x:f>
      </x:c>
      <x:c r="P12" s="19" t="s">
        <x:v>538</x:v>
      </x:c>
      <x:c r="Q12" s="19" t="s">
        <x:v>562</x:v>
      </x:c>
    </x:row>
    <x:row r="13" ht="17">
      <x:c r="A13" s="19" t="s">
        <x:v>177</x:v>
      </x:c>
      <x:c r="B13" s="19" t="s">
        <x:v>231</x:v>
      </x:c>
      <x:c r="C13" s="19" t="s">
        <x:v>231</x:v>
      </x:c>
      <x:c r="D13" s="19" t="s">
        <x:v>566</x:v>
      </x:c>
      <x:c r="E13" s="19" t="s">
        <x:v>567</x:v>
      </x:c>
      <x:c r="F13" s="19" t="s">
        <x:v>557</x:v>
      </x:c>
      <x:c r="G13" s="20">
        <x:v>30</x:v>
      </x:c>
      <x:c r="H13" s="20">
        <x:v>140</x:v>
      </x:c>
      <x:c r="I13" s="24" t="n">
        <x:f>IF(G13="","",G13/'01_关键参数'!$C$5)</x:f>
        <x:v>1.5</x:v>
      </x:c>
      <x:c r="J13" s="24" t="n">
        <x:f>IF(H13="","",H13/'01_关键参数'!$C$5)</x:f>
        <x:v>7</x:v>
      </x:c>
      <x:c r="K13" s="19" t="s">
        <x:v>568</x:v>
      </x:c>
      <x:c r="L13" s="20"/>
      <x:c r="M13" s="20"/>
      <x:c r="N13" s="24" t="str">
        <x:f>IF(L13="","",L13/'01_关键参数'!$C$5)</x:f>
      </x:c>
      <x:c r="O13" s="24" t="str">
        <x:f>IF(M13="","",M13/'01_关键参数'!$C$5)</x:f>
      </x:c>
      <x:c r="P13" s="19" t="s">
        <x:v>538</x:v>
      </x:c>
      <x:c r="Q13" s="19" t="s">
        <x:v>562</x:v>
      </x:c>
    </x:row>
    <x:row r="14" ht="17">
      <x:c r="A14" s="19" t="s">
        <x:v>177</x:v>
      </x:c>
      <x:c r="B14" s="19" t="s">
        <x:v>233</x:v>
      </x:c>
      <x:c r="C14" s="19" t="s">
        <x:v>233</x:v>
      </x:c>
      <x:c r="D14" s="19" t="s">
        <x:v>569</x:v>
      </x:c>
      <x:c r="E14" s="19" t="s">
        <x:v>570</x:v>
      </x:c>
      <x:c r="F14" s="19" t="s">
        <x:v>536</x:v>
      </x:c>
      <x:c r="G14" s="20">
        <x:v>20</x:v>
      </x:c>
      <x:c r="H14" s="20">
        <x:v>0</x:v>
      </x:c>
      <x:c r="I14" s="24" t="n">
        <x:f>IF(G14="","",G14/'01_关键参数'!$C$5)</x:f>
        <x:v>1</x:v>
      </x:c>
      <x:c r="J14" s="24" t="str">
        <x:f>IF(H14="","",H14/'01_关键参数'!$C$5)</x:f>
      </x:c>
      <x:c r="K14" s="19" t="s">
        <x:v>571</x:v>
      </x:c>
      <x:c r="L14" s="20"/>
      <x:c r="M14" s="20"/>
      <x:c r="N14" s="24" t="str">
        <x:f>IF(L14="","",L14/'01_关键参数'!$C$5)</x:f>
      </x:c>
      <x:c r="O14" s="24" t="str">
        <x:f>IF(M14="","",M14/'01_关键参数'!$C$5)</x:f>
      </x:c>
      <x:c r="P14" s="19" t="s">
        <x:v>538</x:v>
      </x:c>
      <x:c r="Q14" s="19" t="s">
        <x:v>572</x:v>
      </x:c>
    </x:row>
    <x:row r="15" ht="17">
      <x:c r="A15" s="19" t="s">
        <x:v>177</x:v>
      </x:c>
      <x:c r="B15" s="19" t="s">
        <x:v>233</x:v>
      </x:c>
      <x:c r="C15" s="19" t="s">
        <x:v>233</x:v>
      </x:c>
      <x:c r="D15" s="19" t="s">
        <x:v>573</x:v>
      </x:c>
      <x:c r="E15" s="19" t="s">
        <x:v>574</x:v>
      </x:c>
      <x:c r="F15" s="19" t="s">
        <x:v>575</x:v>
      </x:c>
      <x:c r="G15" s="20">
        <x:v>29</x:v>
      </x:c>
      <x:c r="H15" s="20">
        <x:v>100</x:v>
      </x:c>
      <x:c r="I15" s="24" t="n">
        <x:f>IF(G15="","",G15/'01_关键参数'!$C$5)</x:f>
        <x:v>1.45</x:v>
      </x:c>
      <x:c r="J15" s="24" t="n">
        <x:f>IF(H15="","",H15/'01_关键参数'!$C$5)</x:f>
        <x:v>5</x:v>
      </x:c>
      <x:c r="K15" s="19" t="s">
        <x:v>576</x:v>
      </x:c>
      <x:c r="L15" s="20"/>
      <x:c r="M15" s="20"/>
      <x:c r="N15" s="24" t="str">
        <x:f>IF(L15="","",L15/'01_关键参数'!$C$5)</x:f>
      </x:c>
      <x:c r="O15" s="24" t="str">
        <x:f>IF(M15="","",M15/'01_关键参数'!$C$5)</x:f>
      </x:c>
      <x:c r="P15" s="19" t="s">
        <x:v>538</x:v>
      </x:c>
      <x:c r="Q15" s="19" t="s">
        <x:v>572</x:v>
      </x:c>
    </x:row>
    <x:row r="16" ht="17">
      <x:c r="A16" s="19" t="s">
        <x:v>177</x:v>
      </x:c>
      <x:c r="B16" s="19" t="s">
        <x:v>233</x:v>
      </x:c>
      <x:c r="C16" s="19" t="s">
        <x:v>233</x:v>
      </x:c>
      <x:c r="D16" s="19" t="s">
        <x:v>577</x:v>
      </x:c>
      <x:c r="E16" s="19" t="s">
        <x:v>578</x:v>
      </x:c>
      <x:c r="F16" s="19" t="s">
        <x:v>542</x:v>
      </x:c>
      <x:c r="G16" s="20">
        <x:v>24</x:v>
      </x:c>
      <x:c r="H16" s="20">
        <x:v>160</x:v>
      </x:c>
      <x:c r="I16" s="24" t="n">
        <x:f>IF(G16="","",G16/'01_关键参数'!$C$5)</x:f>
        <x:v>1.2</x:v>
      </x:c>
      <x:c r="J16" s="24" t="n">
        <x:f>IF(H16="","",H16/'01_关键参数'!$C$5)</x:f>
        <x:v>8</x:v>
      </x:c>
      <x:c r="K16" s="19" t="s">
        <x:v>579</x:v>
      </x:c>
      <x:c r="L16" s="20"/>
      <x:c r="M16" s="20"/>
      <x:c r="N16" s="24" t="str">
        <x:f>IF(L16="","",L16/'01_关键参数'!$C$5)</x:f>
      </x:c>
      <x:c r="O16" s="24" t="str">
        <x:f>IF(M16="","",M16/'01_关键参数'!$C$5)</x:f>
      </x:c>
      <x:c r="P16" s="19" t="s">
        <x:v>538</x:v>
      </x:c>
      <x:c r="Q16" s="19" t="s">
        <x:v>572</x:v>
      </x:c>
    </x:row>
    <x:row r="17" ht="17">
      <x:c r="A17" s="19" t="s">
        <x:v>580</x:v>
      </x:c>
      <x:c r="B17" s="19" t="s">
        <x:v>581</x:v>
      </x:c>
      <x:c r="C17" s="19" t="s">
        <x:v>582</x:v>
      </x:c>
      <x:c r="D17" s="19" t="s">
        <x:v>583</x:v>
      </x:c>
      <x:c r="E17" s="19" t="s">
        <x:v>584</x:v>
      </x:c>
      <x:c r="F17" s="19" t="s">
        <x:v>542</x:v>
      </x:c>
      <x:c r="G17" s="20">
        <x:v>27</x:v>
      </x:c>
      <x:c r="H17" s="20">
        <x:v>120</x:v>
      </x:c>
      <x:c r="I17" s="24" t="n">
        <x:f>IF(G17="","",G17/'01_关键参数'!$C$5)</x:f>
        <x:v>1.35</x:v>
      </x:c>
      <x:c r="J17" s="24" t="n">
        <x:f>IF(H17="","",H17/'01_关键参数'!$C$5)</x:f>
        <x:v>6</x:v>
      </x:c>
      <x:c r="K17" s="19" t="s">
        <x:v>585</x:v>
      </x:c>
      <x:c r="L17" s="20">
        <x:v>25</x:v>
      </x:c>
      <x:c r="M17" s="20">
        <x:v>110</x:v>
      </x:c>
      <x:c r="N17" s="24" t="n">
        <x:f>IF(L17="","",L17/'01_关键参数'!$C$5)</x:f>
        <x:v>1.25</x:v>
      </x:c>
      <x:c r="O17" s="24" t="n">
        <x:f>IF(M17="","",M17/'01_关键参数'!$C$5)</x:f>
        <x:v>5.5</x:v>
      </x:c>
      <x:c r="P17" s="19" t="s">
        <x:v>586</x:v>
      </x:c>
      <x:c r="Q17" s="19" t="s">
        <x:v>587</x:v>
      </x:c>
    </x:row>
    <x:row r="18" ht="17">
      <x:c r="A18" s="19" t="s">
        <x:v>580</x:v>
      </x:c>
      <x:c r="B18" s="19" t="s">
        <x:v>581</x:v>
      </x:c>
      <x:c r="C18" s="19" t="s">
        <x:v>582</x:v>
      </x:c>
      <x:c r="D18" s="19" t="s">
        <x:v>588</x:v>
      </x:c>
      <x:c r="E18" s="19" t="s">
        <x:v>589</x:v>
      </x:c>
      <x:c r="F18" s="19" t="s">
        <x:v>536</x:v>
      </x:c>
      <x:c r="G18" s="20">
        <x:v>25</x:v>
      </x:c>
      <x:c r="H18" s="20">
        <x:v>80</x:v>
      </x:c>
      <x:c r="I18" s="24" t="n">
        <x:f>IF(G18="","",G18/'01_关键参数'!$C$5)</x:f>
        <x:v>1.25</x:v>
      </x:c>
      <x:c r="J18" s="24" t="n">
        <x:f>IF(H18="","",H18/'01_关键参数'!$C$5)</x:f>
        <x:v>4</x:v>
      </x:c>
      <x:c r="K18" s="19" t="s">
        <x:v>590</x:v>
      </x:c>
      <x:c r="L18" s="20">
        <x:v>23</x:v>
      </x:c>
      <x:c r="M18" s="20">
        <x:v>70</x:v>
      </x:c>
      <x:c r="N18" s="24" t="n">
        <x:f>IF(L18="","",L18/'01_关键参数'!$C$5)</x:f>
        <x:v>1.15</x:v>
      </x:c>
      <x:c r="O18" s="24" t="n">
        <x:f>IF(M18="","",M18/'01_关键参数'!$C$5)</x:f>
        <x:v>3.5</x:v>
      </x:c>
      <x:c r="P18" s="19" t="s">
        <x:v>591</x:v>
      </x:c>
      <x:c r="Q18" s="19" t="s">
        <x:v>587</x:v>
      </x:c>
    </x:row>
    <x:row r="19" ht="34">
      <x:c r="A19" s="19" t="s">
        <x:v>580</x:v>
      </x:c>
      <x:c r="B19" s="19" t="s">
        <x:v>581</x:v>
      </x:c>
      <x:c r="C19" s="19" t="s">
        <x:v>582</x:v>
      </x:c>
      <x:c r="D19" s="19" t="s">
        <x:v>592</x:v>
      </x:c>
      <x:c r="E19" s="19" t="s">
        <x:v>593</x:v>
      </x:c>
      <x:c r="F19" s="19" t="s">
        <x:v>542</x:v>
      </x:c>
      <x:c r="G19" s="20">
        <x:v>26</x:v>
      </x:c>
      <x:c r="H19" s="20">
        <x:v>160</x:v>
      </x:c>
      <x:c r="I19" s="24" t="n">
        <x:f>IF(G19="","",G19/'01_关键参数'!$C$5)</x:f>
        <x:v>1.3</x:v>
      </x:c>
      <x:c r="J19" s="24" t="n">
        <x:f>IF(H19="","",H19/'01_关键参数'!$C$5)</x:f>
        <x:v>8</x:v>
      </x:c>
      <x:c r="K19" s="19" t="s">
        <x:v>594</x:v>
      </x:c>
      <x:c r="L19" s="20">
        <x:v>24</x:v>
      </x:c>
      <x:c r="M19" s="20">
        <x:v>145</x:v>
      </x:c>
      <x:c r="N19" s="24" t="n">
        <x:f>IF(L19="","",L19/'01_关键参数'!$C$5)</x:f>
        <x:v>1.2</x:v>
      </x:c>
      <x:c r="O19" s="24" t="n">
        <x:f>IF(M19="","",M19/'01_关键参数'!$C$5)</x:f>
        <x:v>7.25</x:v>
      </x:c>
      <x:c r="P19" s="19" t="s">
        <x:v>595</x:v>
      </x:c>
      <x:c r="Q19" s="19" t="s">
        <x:v>587</x:v>
      </x:c>
    </x:row>
    <x:row r="20" ht="17">
      <x:c r="A20" s="19" t="s">
        <x:v>580</x:v>
      </x:c>
      <x:c r="B20" s="19" t="s">
        <x:v>581</x:v>
      </x:c>
      <x:c r="C20" s="19" t="s">
        <x:v>596</x:v>
      </x:c>
      <x:c r="D20" s="19" t="s">
        <x:v>597</x:v>
      </x:c>
      <x:c r="E20" s="19" t="s">
        <x:v>598</x:v>
      </x:c>
      <x:c r="F20" s="19" t="s">
        <x:v>542</x:v>
      </x:c>
      <x:c r="G20" s="20">
        <x:v>23</x:v>
      </x:c>
      <x:c r="H20" s="20">
        <x:v>150</x:v>
      </x:c>
      <x:c r="I20" s="24" t="n">
        <x:f>IF(G20="","",G20/'01_关键参数'!$C$5)</x:f>
        <x:v>1.15</x:v>
      </x:c>
      <x:c r="J20" s="24" t="n">
        <x:f>IF(H20="","",H20/'01_关键参数'!$C$5)</x:f>
        <x:v>7.5</x:v>
      </x:c>
      <x:c r="K20" s="19" t="s">
        <x:v>599</x:v>
      </x:c>
      <x:c r="L20" s="20">
        <x:v>21</x:v>
      </x:c>
      <x:c r="M20" s="20">
        <x:v>135</x:v>
      </x:c>
      <x:c r="N20" s="24" t="n">
        <x:f>IF(L20="","",L20/'01_关键参数'!$C$5)</x:f>
        <x:v>1.05</x:v>
      </x:c>
      <x:c r="O20" s="24" t="n">
        <x:f>IF(M20="","",M20/'01_关键参数'!$C$5)</x:f>
        <x:v>6.75</x:v>
      </x:c>
      <x:c r="P20" s="19" t="s">
        <x:v>600</x:v>
      </x:c>
      <x:c r="Q20" s="19" t="s">
        <x:v>601</x:v>
      </x:c>
    </x:row>
    <x:row r="21" ht="17">
      <x:c r="A21" s="19" t="s">
        <x:v>580</x:v>
      </x:c>
      <x:c r="B21" s="19" t="s">
        <x:v>581</x:v>
      </x:c>
      <x:c r="C21" s="19" t="s">
        <x:v>596</x:v>
      </x:c>
      <x:c r="D21" s="19" t="s">
        <x:v>602</x:v>
      </x:c>
      <x:c r="E21" s="19" t="s">
        <x:v>603</x:v>
      </x:c>
      <x:c r="F21" s="19" t="s">
        <x:v>536</x:v>
      </x:c>
      <x:c r="G21" s="20">
        <x:v>26</x:v>
      </x:c>
      <x:c r="H21" s="20">
        <x:v>80</x:v>
      </x:c>
      <x:c r="I21" s="24" t="n">
        <x:f>IF(G21="","",G21/'01_关键参数'!$C$5)</x:f>
        <x:v>1.3</x:v>
      </x:c>
      <x:c r="J21" s="24" t="n">
        <x:f>IF(H21="","",H21/'01_关键参数'!$C$5)</x:f>
        <x:v>4</x:v>
      </x:c>
      <x:c r="K21" s="19" t="s">
        <x:v>604</x:v>
      </x:c>
      <x:c r="L21" s="20">
        <x:v>24</x:v>
      </x:c>
      <x:c r="M21" s="20">
        <x:v>70</x:v>
      </x:c>
      <x:c r="N21" s="24" t="n">
        <x:f>IF(L21="","",L21/'01_关键参数'!$C$5)</x:f>
        <x:v>1.2</x:v>
      </x:c>
      <x:c r="O21" s="24" t="n">
        <x:f>IF(M21="","",M21/'01_关键参数'!$C$5)</x:f>
        <x:v>3.5</x:v>
      </x:c>
      <x:c r="P21" s="19" t="s">
        <x:v>605</x:v>
      </x:c>
      <x:c r="Q21" s="19" t="s">
        <x:v>601</x:v>
      </x:c>
    </x:row>
    <x:row r="22" ht="17">
      <x:c r="A22" s="19" t="s">
        <x:v>580</x:v>
      </x:c>
      <x:c r="B22" s="19" t="s">
        <x:v>581</x:v>
      </x:c>
      <x:c r="C22" s="19" t="s">
        <x:v>596</x:v>
      </x:c>
      <x:c r="D22" s="19" t="s">
        <x:v>606</x:v>
      </x:c>
      <x:c r="E22" s="19" t="s">
        <x:v>607</x:v>
      </x:c>
      <x:c r="F22" s="19" t="s">
        <x:v>553</x:v>
      </x:c>
      <x:c r="G22" s="20">
        <x:v>34</x:v>
      </x:c>
      <x:c r="H22" s="20">
        <x:v>130</x:v>
      </x:c>
      <x:c r="I22" s="24" t="n">
        <x:f>IF(G22="","",G22/'01_关键参数'!$C$5)</x:f>
        <x:v>1.7</x:v>
      </x:c>
      <x:c r="J22" s="24" t="n">
        <x:f>IF(H22="","",H22/'01_关键参数'!$C$5)</x:f>
        <x:v>6.5</x:v>
      </x:c>
      <x:c r="K22" s="19" t="s">
        <x:v>608</x:v>
      </x:c>
      <x:c r="L22" s="20">
        <x:v>31</x:v>
      </x:c>
      <x:c r="M22" s="20">
        <x:v>115</x:v>
      </x:c>
      <x:c r="N22" s="24" t="n">
        <x:f>IF(L22="","",L22/'01_关键参数'!$C$5)</x:f>
        <x:v>1.55</x:v>
      </x:c>
      <x:c r="O22" s="24" t="n">
        <x:f>IF(M22="","",M22/'01_关键参数'!$C$5)</x:f>
        <x:v>5.75</x:v>
      </x:c>
      <x:c r="P22" s="19" t="s">
        <x:v>609</x:v>
      </x:c>
      <x:c r="Q22" s="19" t="s">
        <x:v>601</x:v>
      </x:c>
    </x:row>
    <x:row r="23" ht="17">
      <x:c r="A23" s="19" t="s">
        <x:v>580</x:v>
      </x:c>
      <x:c r="B23" s="19" t="s">
        <x:v>610</x:v>
      </x:c>
      <x:c r="C23" s="19" t="s">
        <x:v>611</x:v>
      </x:c>
      <x:c r="D23" s="19" t="s">
        <x:v>612</x:v>
      </x:c>
      <x:c r="E23" s="19" t="s">
        <x:v>613</x:v>
      </x:c>
      <x:c r="F23" s="19" t="s">
        <x:v>536</x:v>
      </x:c>
      <x:c r="G23" s="20">
        <x:v>20</x:v>
      </x:c>
      <x:c r="H23" s="20">
        <x:v>0</x:v>
      </x:c>
      <x:c r="I23" s="24" t="n">
        <x:f>IF(G23="","",G23/'01_关键参数'!$C$5)</x:f>
        <x:v>1</x:v>
      </x:c>
      <x:c r="J23" s="24" t="str">
        <x:f>IF(H23="","",H23/'01_关键参数'!$C$5)</x:f>
      </x:c>
      <x:c r="K23" s="19" t="s">
        <x:v>614</x:v>
      </x:c>
      <x:c r="L23" s="20">
        <x:v>19</x:v>
      </x:c>
      <x:c r="M23" s="20">
        <x:v>0</x:v>
      </x:c>
      <x:c r="N23" s="24" t="n">
        <x:f>IF(L23="","",L23/'01_关键参数'!$C$5)</x:f>
        <x:v>0.95</x:v>
      </x:c>
      <x:c r="O23" s="24" t="str">
        <x:f>IF(M23="","",M23/'01_关键参数'!$C$5)</x:f>
      </x:c>
      <x:c r="P23" s="19" t="s">
        <x:v>615</x:v>
      </x:c>
      <x:c r="Q23" s="19" t="s">
        <x:v>616</x:v>
      </x:c>
    </x:row>
    <x:row r="24" ht="34">
      <x:c r="A24" s="19" t="s">
        <x:v>580</x:v>
      </x:c>
      <x:c r="B24" s="19" t="s">
        <x:v>610</x:v>
      </x:c>
      <x:c r="C24" s="19" t="s">
        <x:v>611</x:v>
      </x:c>
      <x:c r="D24" s="19" t="s">
        <x:v>617</x:v>
      </x:c>
      <x:c r="E24" s="19" t="s">
        <x:v>618</x:v>
      </x:c>
      <x:c r="F24" s="19" t="s">
        <x:v>619</x:v>
      </x:c>
      <x:c r="G24" s="20">
        <x:v>30</x:v>
      </x:c>
      <x:c r="H24" s="20">
        <x:v>100</x:v>
      </x:c>
      <x:c r="I24" s="24" t="n">
        <x:f>IF(G24="","",G24/'01_关键参数'!$C$5)</x:f>
        <x:v>1.5</x:v>
      </x:c>
      <x:c r="J24" s="24" t="n">
        <x:f>IF(H24="","",H24/'01_关键参数'!$C$5)</x:f>
        <x:v>5</x:v>
      </x:c>
      <x:c r="K24" s="19" t="s">
        <x:v>620</x:v>
      </x:c>
      <x:c r="L24" s="20">
        <x:v>28</x:v>
      </x:c>
      <x:c r="M24" s="20">
        <x:v>90</x:v>
      </x:c>
      <x:c r="N24" s="24" t="n">
        <x:f>IF(L24="","",L24/'01_关键参数'!$C$5)</x:f>
        <x:v>1.4</x:v>
      </x:c>
      <x:c r="O24" s="24" t="n">
        <x:f>IF(M24="","",M24/'01_关键参数'!$C$5)</x:f>
        <x:v>4.5</x:v>
      </x:c>
      <x:c r="P24" s="19" t="s">
        <x:v>621</x:v>
      </x:c>
      <x:c r="Q24" s="19" t="s">
        <x:v>616</x:v>
      </x:c>
    </x:row>
    <x:row r="25" ht="17">
      <x:c r="A25" s="19" t="s">
        <x:v>580</x:v>
      </x:c>
      <x:c r="B25" s="19" t="s">
        <x:v>610</x:v>
      </x:c>
      <x:c r="C25" s="19" t="s">
        <x:v>611</x:v>
      </x:c>
      <x:c r="D25" s="19" t="s">
        <x:v>622</x:v>
      </x:c>
      <x:c r="E25" s="19" t="s">
        <x:v>623</x:v>
      </x:c>
      <x:c r="F25" s="19" t="s">
        <x:v>557</x:v>
      </x:c>
      <x:c r="G25" s="20">
        <x:v>33</x:v>
      </x:c>
      <x:c r="H25" s="20">
        <x:v>150</x:v>
      </x:c>
      <x:c r="I25" s="24" t="n">
        <x:f>IF(G25="","",G25/'01_关键参数'!$C$5)</x:f>
        <x:v>1.65</x:v>
      </x:c>
      <x:c r="J25" s="24" t="n">
        <x:f>IF(H25="","",H25/'01_关键参数'!$C$5)</x:f>
        <x:v>7.5</x:v>
      </x:c>
      <x:c r="K25" s="19" t="s">
        <x:v>624</x:v>
      </x:c>
      <x:c r="L25" s="20">
        <x:v>31</x:v>
      </x:c>
      <x:c r="M25" s="20">
        <x:v>130</x:v>
      </x:c>
      <x:c r="N25" s="24" t="n">
        <x:f>IF(L25="","",L25/'01_关键参数'!$C$5)</x:f>
        <x:v>1.55</x:v>
      </x:c>
      <x:c r="O25" s="24" t="n">
        <x:f>IF(M25="","",M25/'01_关键参数'!$C$5)</x:f>
        <x:v>6.5</x:v>
      </x:c>
      <x:c r="P25" s="19" t="s">
        <x:v>625</x:v>
      </x:c>
      <x:c r="Q25" s="19" t="s">
        <x:v>616</x:v>
      </x:c>
    </x:row>
    <x:row r="26" ht="17">
      <x:c r="A26" s="19" t="s">
        <x:v>580</x:v>
      </x:c>
      <x:c r="B26" s="19" t="s">
        <x:v>610</x:v>
      </x:c>
      <x:c r="C26" s="19" t="s">
        <x:v>626</x:v>
      </x:c>
      <x:c r="D26" s="19" t="s">
        <x:v>627</x:v>
      </x:c>
      <x:c r="E26" s="19" t="s">
        <x:v>628</x:v>
      </x:c>
      <x:c r="F26" s="19" t="s">
        <x:v>536</x:v>
      </x:c>
      <x:c r="G26" s="20">
        <x:v>22</x:v>
      </x:c>
      <x:c r="H26" s="20">
        <x:v>0</x:v>
      </x:c>
      <x:c r="I26" s="24" t="n">
        <x:f>IF(G26="","",G26/'01_关键参数'!$C$5)</x:f>
        <x:v>1.1</x:v>
      </x:c>
      <x:c r="J26" s="24" t="str">
        <x:f>IF(H26="","",H26/'01_关键参数'!$C$5)</x:f>
      </x:c>
      <x:c r="K26" s="19" t="s">
        <x:v>629</x:v>
      </x:c>
      <x:c r="L26" s="20">
        <x:v>21</x:v>
      </x:c>
      <x:c r="M26" s="20">
        <x:v>0</x:v>
      </x:c>
      <x:c r="N26" s="24" t="n">
        <x:f>IF(L26="","",L26/'01_关键参数'!$C$5)</x:f>
        <x:v>1.05</x:v>
      </x:c>
      <x:c r="O26" s="24" t="str">
        <x:f>IF(M26="","",M26/'01_关键参数'!$C$5)</x:f>
      </x:c>
      <x:c r="P26" s="19" t="s">
        <x:v>630</x:v>
      </x:c>
      <x:c r="Q26" s="19" t="s">
        <x:v>631</x:v>
      </x:c>
    </x:row>
    <x:row r="27" ht="17">
      <x:c r="A27" s="19" t="s">
        <x:v>580</x:v>
      </x:c>
      <x:c r="B27" s="19" t="s">
        <x:v>610</x:v>
      </x:c>
      <x:c r="C27" s="19" t="s">
        <x:v>626</x:v>
      </x:c>
      <x:c r="D27" s="19" t="s">
        <x:v>632</x:v>
      </x:c>
      <x:c r="E27" s="19" t="s">
        <x:v>633</x:v>
      </x:c>
      <x:c r="F27" s="19" t="s">
        <x:v>553</x:v>
      </x:c>
      <x:c r="G27" s="20">
        <x:v>34</x:v>
      </x:c>
      <x:c r="H27" s="20">
        <x:v>130</x:v>
      </x:c>
      <x:c r="I27" s="24" t="n">
        <x:f>IF(G27="","",G27/'01_关键参数'!$C$5)</x:f>
        <x:v>1.7</x:v>
      </x:c>
      <x:c r="J27" s="24" t="n">
        <x:f>IF(H27="","",H27/'01_关键参数'!$C$5)</x:f>
        <x:v>6.5</x:v>
      </x:c>
      <x:c r="K27" s="19" t="s">
        <x:v>634</x:v>
      </x:c>
      <x:c r="L27" s="20">
        <x:v>32</x:v>
      </x:c>
      <x:c r="M27" s="20">
        <x:v>115</x:v>
      </x:c>
      <x:c r="N27" s="24" t="n">
        <x:f>IF(L27="","",L27/'01_关键参数'!$C$5)</x:f>
        <x:v>1.6</x:v>
      </x:c>
      <x:c r="O27" s="24" t="n">
        <x:f>IF(M27="","",M27/'01_关键参数'!$C$5)</x:f>
        <x:v>5.75</x:v>
      </x:c>
      <x:c r="P27" s="19" t="s">
        <x:v>635</x:v>
      </x:c>
      <x:c r="Q27" s="19" t="s">
        <x:v>631</x:v>
      </x:c>
    </x:row>
    <x:row r="28" ht="34">
      <x:c r="A28" s="19" t="s">
        <x:v>580</x:v>
      </x:c>
      <x:c r="B28" s="19" t="s">
        <x:v>610</x:v>
      </x:c>
      <x:c r="C28" s="19" t="s">
        <x:v>626</x:v>
      </x:c>
      <x:c r="D28" s="19" t="s">
        <x:v>636</x:v>
      </x:c>
      <x:c r="E28" s="19" t="s">
        <x:v>637</x:v>
      </x:c>
      <x:c r="F28" s="19" t="s">
        <x:v>638</x:v>
      </x:c>
      <x:c r="G28" s="20">
        <x:v>29</x:v>
      </x:c>
      <x:c r="H28" s="20">
        <x:v>110</x:v>
      </x:c>
      <x:c r="I28" s="24" t="n">
        <x:f>IF(G28="","",G28/'01_关键参数'!$C$5)</x:f>
        <x:v>1.45</x:v>
      </x:c>
      <x:c r="J28" s="24" t="n">
        <x:f>IF(H28="","",H28/'01_关键参数'!$C$5)</x:f>
        <x:v>5.5</x:v>
      </x:c>
      <x:c r="K28" s="19" t="s">
        <x:v>639</x:v>
      </x:c>
      <x:c r="L28" s="20">
        <x:v>27</x:v>
      </x:c>
      <x:c r="M28" s="20">
        <x:v>95</x:v>
      </x:c>
      <x:c r="N28" s="24" t="n">
        <x:f>IF(L28="","",L28/'01_关键参数'!$C$5)</x:f>
        <x:v>1.35</x:v>
      </x:c>
      <x:c r="O28" s="24" t="n">
        <x:f>IF(M28="","",M28/'01_关键参数'!$C$5)</x:f>
        <x:v>4.75</x:v>
      </x:c>
      <x:c r="P28" s="19" t="s">
        <x:v>640</x:v>
      </x:c>
      <x:c r="Q28" s="19" t="s">
        <x:v>631</x:v>
      </x:c>
    </x:row>
    <x:row r="29" ht="17">
      <x:c r="A29" s="19" t="s">
        <x:v>580</x:v>
      </x:c>
      <x:c r="B29" s="19" t="s">
        <x:v>641</x:v>
      </x:c>
      <x:c r="C29" s="19" t="s">
        <x:v>642</x:v>
      </x:c>
      <x:c r="D29" s="19" t="s">
        <x:v>643</x:v>
      </x:c>
      <x:c r="E29" s="19" t="s">
        <x:v>644</x:v>
      </x:c>
      <x:c r="F29" s="19" t="s">
        <x:v>536</x:v>
      </x:c>
      <x:c r="G29" s="20">
        <x:v>23</x:v>
      </x:c>
      <x:c r="H29" s="20">
        <x:v>0</x:v>
      </x:c>
      <x:c r="I29" s="24" t="n">
        <x:f>IF(G29="","",G29/'01_关键参数'!$C$5)</x:f>
        <x:v>1.15</x:v>
      </x:c>
      <x:c r="J29" s="24" t="str">
        <x:f>IF(H29="","",H29/'01_关键参数'!$C$5)</x:f>
      </x:c>
      <x:c r="K29" s="19" t="s">
        <x:v>645</x:v>
      </x:c>
      <x:c r="L29" s="20">
        <x:v>22</x:v>
      </x:c>
      <x:c r="M29" s="20">
        <x:v>0</x:v>
      </x:c>
      <x:c r="N29" s="24" t="n">
        <x:f>IF(L29="","",L29/'01_关键参数'!$C$5)</x:f>
        <x:v>1.1</x:v>
      </x:c>
      <x:c r="O29" s="24" t="str">
        <x:f>IF(M29="","",M29/'01_关键参数'!$C$5)</x:f>
      </x:c>
      <x:c r="P29" s="19" t="s">
        <x:v>646</x:v>
      </x:c>
      <x:c r="Q29" s="19" t="s">
        <x:v>647</x:v>
      </x:c>
    </x:row>
    <x:row r="30" ht="17">
      <x:c r="A30" s="19" t="s">
        <x:v>580</x:v>
      </x:c>
      <x:c r="B30" s="19" t="s">
        <x:v>641</x:v>
      </x:c>
      <x:c r="C30" s="19" t="s">
        <x:v>642</x:v>
      </x:c>
      <x:c r="D30" s="19" t="s">
        <x:v>648</x:v>
      </x:c>
      <x:c r="E30" s="19" t="s">
        <x:v>649</x:v>
      </x:c>
      <x:c r="F30" s="19" t="s">
        <x:v>553</x:v>
      </x:c>
      <x:c r="G30" s="20">
        <x:v>35</x:v>
      </x:c>
      <x:c r="H30" s="20">
        <x:v>140</x:v>
      </x:c>
      <x:c r="I30" s="24" t="n">
        <x:f>IF(G30="","",G30/'01_关键参数'!$C$5)</x:f>
        <x:v>1.75</x:v>
      </x:c>
      <x:c r="J30" s="24" t="n">
        <x:f>IF(H30="","",H30/'01_关键参数'!$C$5)</x:f>
        <x:v>7</x:v>
      </x:c>
      <x:c r="K30" s="19" t="s">
        <x:v>650</x:v>
      </x:c>
      <x:c r="L30" s="20">
        <x:v>33</x:v>
      </x:c>
      <x:c r="M30" s="20">
        <x:v>120</x:v>
      </x:c>
      <x:c r="N30" s="24" t="n">
        <x:f>IF(L30="","",L30/'01_关键参数'!$C$5)</x:f>
        <x:v>1.65</x:v>
      </x:c>
      <x:c r="O30" s="24" t="n">
        <x:f>IF(M30="","",M30/'01_关键参数'!$C$5)</x:f>
        <x:v>6</x:v>
      </x:c>
      <x:c r="P30" s="19" t="s">
        <x:v>651</x:v>
      </x:c>
      <x:c r="Q30" s="19" t="s">
        <x:v>647</x:v>
      </x:c>
    </x:row>
    <x:row r="31" ht="17">
      <x:c r="A31" s="19" t="s">
        <x:v>580</x:v>
      </x:c>
      <x:c r="B31" s="19" t="s">
        <x:v>641</x:v>
      </x:c>
      <x:c r="C31" s="19" t="s">
        <x:v>642</x:v>
      </x:c>
      <x:c r="D31" s="19" t="s">
        <x:v>652</x:v>
      </x:c>
      <x:c r="E31" s="19" t="s">
        <x:v>653</x:v>
      </x:c>
      <x:c r="F31" s="19" t="s">
        <x:v>557</x:v>
      </x:c>
      <x:c r="G31" s="20">
        <x:v>32</x:v>
      </x:c>
      <x:c r="H31" s="20">
        <x:v>150</x:v>
      </x:c>
      <x:c r="I31" s="24" t="n">
        <x:f>IF(G31="","",G31/'01_关键参数'!$C$5)</x:f>
        <x:v>1.6</x:v>
      </x:c>
      <x:c r="J31" s="24" t="n">
        <x:f>IF(H31="","",H31/'01_关键参数'!$C$5)</x:f>
        <x:v>7.5</x:v>
      </x:c>
      <x:c r="K31" s="19" t="s">
        <x:v>654</x:v>
      </x:c>
      <x:c r="L31" s="20">
        <x:v>30</x:v>
      </x:c>
      <x:c r="M31" s="20">
        <x:v>130</x:v>
      </x:c>
      <x:c r="N31" s="24" t="n">
        <x:f>IF(L31="","",L31/'01_关键参数'!$C$5)</x:f>
        <x:v>1.5</x:v>
      </x:c>
      <x:c r="O31" s="24" t="n">
        <x:f>IF(M31="","",M31/'01_关键参数'!$C$5)</x:f>
        <x:v>6.5</x:v>
      </x:c>
      <x:c r="P31" s="19" t="s">
        <x:v>655</x:v>
      </x:c>
      <x:c r="Q31" s="19" t="s">
        <x:v>647</x:v>
      </x:c>
    </x:row>
    <x:row r="32" ht="17">
      <x:c r="A32" s="19" t="s">
        <x:v>580</x:v>
      </x:c>
      <x:c r="B32" s="19" t="s">
        <x:v>641</x:v>
      </x:c>
      <x:c r="C32" s="19" t="s">
        <x:v>656</x:v>
      </x:c>
      <x:c r="D32" s="19" t="s">
        <x:v>657</x:v>
      </x:c>
      <x:c r="E32" s="19" t="s">
        <x:v>658</x:v>
      </x:c>
      <x:c r="F32" s="19" t="s">
        <x:v>536</x:v>
      </x:c>
      <x:c r="G32" s="20">
        <x:v>22</x:v>
      </x:c>
      <x:c r="H32" s="20">
        <x:v>0</x:v>
      </x:c>
      <x:c r="I32" s="24" t="n">
        <x:f>IF(G32="","",G32/'01_关键参数'!$C$5)</x:f>
        <x:v>1.1</x:v>
      </x:c>
      <x:c r="J32" s="24" t="str">
        <x:f>IF(H32="","",H32/'01_关键参数'!$C$5)</x:f>
      </x:c>
      <x:c r="K32" s="19" t="s">
        <x:v>659</x:v>
      </x:c>
      <x:c r="L32" s="20">
        <x:v>21</x:v>
      </x:c>
      <x:c r="M32" s="20">
        <x:v>0</x:v>
      </x:c>
      <x:c r="N32" s="24" t="n">
        <x:f>IF(L32="","",L32/'01_关键参数'!$C$5)</x:f>
        <x:v>1.05</x:v>
      </x:c>
      <x:c r="O32" s="24" t="str">
        <x:f>IF(M32="","",M32/'01_关键参数'!$C$5)</x:f>
      </x:c>
      <x:c r="P32" s="19" t="s">
        <x:v>660</x:v>
      </x:c>
      <x:c r="Q32" s="19" t="s">
        <x:v>661</x:v>
      </x:c>
    </x:row>
    <x:row r="33" ht="17">
      <x:c r="A33" s="19" t="s">
        <x:v>580</x:v>
      </x:c>
      <x:c r="B33" s="19" t="s">
        <x:v>641</x:v>
      </x:c>
      <x:c r="C33" s="19" t="s">
        <x:v>656</x:v>
      </x:c>
      <x:c r="D33" s="19" t="s">
        <x:v>662</x:v>
      </x:c>
      <x:c r="E33" s="19" t="s">
        <x:v>663</x:v>
      </x:c>
      <x:c r="F33" s="19" t="s">
        <x:v>664</x:v>
      </x:c>
      <x:c r="G33" s="20">
        <x:v>30</x:v>
      </x:c>
      <x:c r="H33" s="20">
        <x:v>120</x:v>
      </x:c>
      <x:c r="I33" s="24" t="n">
        <x:f>IF(G33="","",G33/'01_关键参数'!$C$5)</x:f>
        <x:v>1.5</x:v>
      </x:c>
      <x:c r="J33" s="24" t="n">
        <x:f>IF(H33="","",H33/'01_关键参数'!$C$5)</x:f>
        <x:v>6</x:v>
      </x:c>
      <x:c r="K33" s="19" t="s">
        <x:v>665</x:v>
      </x:c>
      <x:c r="L33" s="20">
        <x:v>28</x:v>
      </x:c>
      <x:c r="M33" s="20">
        <x:v>105</x:v>
      </x:c>
      <x:c r="N33" s="24" t="n">
        <x:f>IF(L33="","",L33/'01_关键参数'!$C$5)</x:f>
        <x:v>1.4</x:v>
      </x:c>
      <x:c r="O33" s="24" t="n">
        <x:f>IF(M33="","",M33/'01_关键参数'!$C$5)</x:f>
        <x:v>5.25</x:v>
      </x:c>
      <x:c r="P33" s="19" t="s">
        <x:v>666</x:v>
      </x:c>
      <x:c r="Q33" s="19" t="s">
        <x:v>661</x:v>
      </x:c>
    </x:row>
    <x:row r="34" ht="34">
      <x:c r="A34" s="19" t="s">
        <x:v>580</x:v>
      </x:c>
      <x:c r="B34" s="19" t="s">
        <x:v>641</x:v>
      </x:c>
      <x:c r="C34" s="19" t="s">
        <x:v>656</x:v>
      </x:c>
      <x:c r="D34" s="19" t="s">
        <x:v>667</x:v>
      </x:c>
      <x:c r="E34" s="19" t="s">
        <x:v>668</x:v>
      </x:c>
      <x:c r="F34" s="19" t="s">
        <x:v>669</x:v>
      </x:c>
      <x:c r="G34" s="20">
        <x:v>34</x:v>
      </x:c>
      <x:c r="H34" s="20">
        <x:v>180</x:v>
      </x:c>
      <x:c r="I34" s="24" t="n">
        <x:f>IF(G34="","",G34/'01_关键参数'!$C$5)</x:f>
        <x:v>1.7</x:v>
      </x:c>
      <x:c r="J34" s="24" t="n">
        <x:f>IF(H34="","",H34/'01_关键参数'!$C$5)</x:f>
        <x:v>9</x:v>
      </x:c>
      <x:c r="K34" s="19" t="s">
        <x:v>670</x:v>
      </x:c>
      <x:c r="L34" s="20">
        <x:v>32</x:v>
      </x:c>
      <x:c r="M34" s="20">
        <x:v>160</x:v>
      </x:c>
      <x:c r="N34" s="24" t="n">
        <x:f>IF(L34="","",L34/'01_关键参数'!$C$5)</x:f>
        <x:v>1.6</x:v>
      </x:c>
      <x:c r="O34" s="24" t="n">
        <x:f>IF(M34="","",M34/'01_关键参数'!$C$5)</x:f>
        <x:v>8</x:v>
      </x:c>
      <x:c r="P34" s="19" t="s">
        <x:v>671</x:v>
      </x:c>
      <x:c r="Q34" s="19" t="s">
        <x:v>661</x:v>
      </x:c>
    </x:row>
    <x:row r="35" ht="17">
      <x:c r="A35" s="19" t="s">
        <x:v>580</x:v>
      </x:c>
      <x:c r="B35" s="19" t="s">
        <x:v>672</x:v>
      </x:c>
      <x:c r="C35" s="19" t="s">
        <x:v>673</x:v>
      </x:c>
      <x:c r="D35" s="19" t="s">
        <x:v>674</x:v>
      </x:c>
      <x:c r="E35" s="19" t="s">
        <x:v>675</x:v>
      </x:c>
      <x:c r="F35" s="19" t="s">
        <x:v>536</x:v>
      </x:c>
      <x:c r="G35" s="20">
        <x:v>17</x:v>
      </x:c>
      <x:c r="H35" s="20">
        <x:v>0</x:v>
      </x:c>
      <x:c r="I35" s="24" t="n">
        <x:f>IF(G35="","",G35/'01_关键参数'!$C$5)</x:f>
        <x:v>0.85</x:v>
      </x:c>
      <x:c r="J35" s="24" t="str">
        <x:f>IF(H35="","",H35/'01_关键参数'!$C$5)</x:f>
      </x:c>
      <x:c r="K35" s="19" t="s">
        <x:v>676</x:v>
      </x:c>
      <x:c r="L35" s="20">
        <x:v>15</x:v>
      </x:c>
      <x:c r="M35" s="20">
        <x:v>0</x:v>
      </x:c>
      <x:c r="N35" s="24" t="n">
        <x:f>IF(L35="","",L35/'01_关键参数'!$C$5)</x:f>
        <x:v>0.75</x:v>
      </x:c>
      <x:c r="O35" s="24" t="str">
        <x:f>IF(M35="","",M35/'01_关键参数'!$C$5)</x:f>
      </x:c>
      <x:c r="P35" s="19" t="s">
        <x:v>677</x:v>
      </x:c>
      <x:c r="Q35" s="19" t="s">
        <x:v>678</x:v>
      </x:c>
    </x:row>
    <x:row r="36" ht="17">
      <x:c r="A36" s="19" t="s">
        <x:v>580</x:v>
      </x:c>
      <x:c r="B36" s="19" t="s">
        <x:v>672</x:v>
      </x:c>
      <x:c r="C36" s="19" t="s">
        <x:v>673</x:v>
      </x:c>
      <x:c r="D36" s="19" t="s">
        <x:v>679</x:v>
      </x:c>
      <x:c r="E36" s="19" t="s">
        <x:v>680</x:v>
      </x:c>
      <x:c r="F36" s="19" t="s">
        <x:v>536</x:v>
      </x:c>
      <x:c r="G36" s="20">
        <x:v>22</x:v>
      </x:c>
      <x:c r="H36" s="20">
        <x:v>80</x:v>
      </x:c>
      <x:c r="I36" s="24" t="n">
        <x:f>IF(G36="","",G36/'01_关键参数'!$C$5)</x:f>
        <x:v>1.1</x:v>
      </x:c>
      <x:c r="J36" s="24" t="n">
        <x:f>IF(H36="","",H36/'01_关键参数'!$C$5)</x:f>
        <x:v>4</x:v>
      </x:c>
      <x:c r="K36" s="19" t="s">
        <x:v>681</x:v>
      </x:c>
      <x:c r="L36" s="20">
        <x:v>20</x:v>
      </x:c>
      <x:c r="M36" s="20">
        <x:v>70</x:v>
      </x:c>
      <x:c r="N36" s="24" t="n">
        <x:f>IF(L36="","",L36/'01_关键参数'!$C$5)</x:f>
        <x:v>1</x:v>
      </x:c>
      <x:c r="O36" s="24" t="n">
        <x:f>IF(M36="","",M36/'01_关键参数'!$C$5)</x:f>
        <x:v>3.5</x:v>
      </x:c>
      <x:c r="P36" s="19" t="s">
        <x:v>682</x:v>
      </x:c>
      <x:c r="Q36" s="19" t="s">
        <x:v>678</x:v>
      </x:c>
    </x:row>
    <x:row r="37" ht="17">
      <x:c r="A37" s="19" t="s">
        <x:v>580</x:v>
      </x:c>
      <x:c r="B37" s="19" t="s">
        <x:v>672</x:v>
      </x:c>
      <x:c r="C37" s="19" t="s">
        <x:v>673</x:v>
      </x:c>
      <x:c r="D37" s="19" t="s">
        <x:v>683</x:v>
      </x:c>
      <x:c r="E37" s="19" t="s">
        <x:v>684</x:v>
      </x:c>
      <x:c r="F37" s="19" t="s">
        <x:v>536</x:v>
      </x:c>
      <x:c r="G37" s="20">
        <x:v>24</x:v>
      </x:c>
      <x:c r="H37" s="20">
        <x:v>100</x:v>
      </x:c>
      <x:c r="I37" s="24" t="n">
        <x:f>IF(G37="","",G37/'01_关键参数'!$C$5)</x:f>
        <x:v>1.2</x:v>
      </x:c>
      <x:c r="J37" s="24" t="n">
        <x:f>IF(H37="","",H37/'01_关键参数'!$C$5)</x:f>
        <x:v>5</x:v>
      </x:c>
      <x:c r="K37" s="19" t="s">
        <x:v>685</x:v>
      </x:c>
      <x:c r="L37" s="20">
        <x:v>22</x:v>
      </x:c>
      <x:c r="M37" s="20">
        <x:v>85</x:v>
      </x:c>
      <x:c r="N37" s="24" t="n">
        <x:f>IF(L37="","",L37/'01_关键参数'!$C$5)</x:f>
        <x:v>1.1</x:v>
      </x:c>
      <x:c r="O37" s="24" t="n">
        <x:f>IF(M37="","",M37/'01_关键参数'!$C$5)</x:f>
        <x:v>4.25</x:v>
      </x:c>
      <x:c r="P37" s="19" t="s">
        <x:v>686</x:v>
      </x:c>
      <x:c r="Q37" s="19" t="s">
        <x:v>678</x:v>
      </x:c>
    </x:row>
    <x:row r="38" ht="17">
      <x:c r="A38" s="19" t="s">
        <x:v>580</x:v>
      </x:c>
      <x:c r="B38" s="19" t="s">
        <x:v>672</x:v>
      </x:c>
      <x:c r="C38" s="19" t="s">
        <x:v>687</x:v>
      </x:c>
      <x:c r="D38" s="19" t="s">
        <x:v>688</x:v>
      </x:c>
      <x:c r="E38" s="19" t="s">
        <x:v>689</x:v>
      </x:c>
      <x:c r="F38" s="19" t="s">
        <x:v>536</x:v>
      </x:c>
      <x:c r="G38" s="20">
        <x:v>34</x:v>
      </x:c>
      <x:c r="H38" s="20">
        <x:v>0</x:v>
      </x:c>
      <x:c r="I38" s="24" t="n">
        <x:f>IF(G38="","",G38/'01_关键参数'!$C$5)</x:f>
        <x:v>1.7</x:v>
      </x:c>
      <x:c r="J38" s="24" t="str">
        <x:f>IF(H38="","",H38/'01_关键参数'!$C$5)</x:f>
      </x:c>
      <x:c r="K38" s="19" t="s">
        <x:v>690</x:v>
      </x:c>
      <x:c r="L38" s="20">
        <x:v>32</x:v>
      </x:c>
      <x:c r="M38" s="20">
        <x:v>0</x:v>
      </x:c>
      <x:c r="N38" s="24" t="n">
        <x:f>IF(L38="","",L38/'01_关键参数'!$C$5)</x:f>
        <x:v>1.6</x:v>
      </x:c>
      <x:c r="O38" s="24" t="str">
        <x:f>IF(M38="","",M38/'01_关键参数'!$C$5)</x:f>
      </x:c>
      <x:c r="P38" s="19" t="s">
        <x:v>691</x:v>
      </x:c>
      <x:c r="Q38" s="19" t="s">
        <x:v>692</x:v>
      </x:c>
    </x:row>
    <x:row r="39" ht="17">
      <x:c r="A39" s="19" t="s">
        <x:v>580</x:v>
      </x:c>
      <x:c r="B39" s="19" t="s">
        <x:v>672</x:v>
      </x:c>
      <x:c r="C39" s="19" t="s">
        <x:v>687</x:v>
      </x:c>
      <x:c r="D39" s="19" t="s">
        <x:v>693</x:v>
      </x:c>
      <x:c r="E39" s="19" t="s">
        <x:v>694</x:v>
      </x:c>
      <x:c r="F39" s="19" t="s">
        <x:v>536</x:v>
      </x:c>
      <x:c r="G39" s="20">
        <x:v>28</x:v>
      </x:c>
      <x:c r="H39" s="20">
        <x:v>80</x:v>
      </x:c>
      <x:c r="I39" s="24" t="n">
        <x:f>IF(G39="","",G39/'01_关键参数'!$C$5)</x:f>
        <x:v>1.4</x:v>
      </x:c>
      <x:c r="J39" s="24" t="n">
        <x:f>IF(H39="","",H39/'01_关键参数'!$C$5)</x:f>
        <x:v>4</x:v>
      </x:c>
      <x:c r="K39" s="19" t="s">
        <x:v>695</x:v>
      </x:c>
      <x:c r="L39" s="20">
        <x:v>27</x:v>
      </x:c>
      <x:c r="M39" s="20">
        <x:v>70</x:v>
      </x:c>
      <x:c r="N39" s="24" t="n">
        <x:f>IF(L39="","",L39/'01_关键参数'!$C$5)</x:f>
        <x:v>1.35</x:v>
      </x:c>
      <x:c r="O39" s="24" t="n">
        <x:f>IF(M39="","",M39/'01_关键参数'!$C$5)</x:f>
        <x:v>3.5</x:v>
      </x:c>
      <x:c r="P39" s="19" t="s">
        <x:v>696</x:v>
      </x:c>
      <x:c r="Q39" s="19" t="s">
        <x:v>692</x:v>
      </x:c>
    </x:row>
    <x:row r="40" ht="17">
      <x:c r="A40" s="19" t="s">
        <x:v>580</x:v>
      </x:c>
      <x:c r="B40" s="19" t="s">
        <x:v>672</x:v>
      </x:c>
      <x:c r="C40" s="19" t="s">
        <x:v>687</x:v>
      </x:c>
      <x:c r="D40" s="19" t="s">
        <x:v>697</x:v>
      </x:c>
      <x:c r="E40" s="19" t="s">
        <x:v>698</x:v>
      </x:c>
      <x:c r="F40" s="19" t="s">
        <x:v>553</x:v>
      </x:c>
      <x:c r="G40" s="20">
        <x:v>38</x:v>
      </x:c>
      <x:c r="H40" s="20">
        <x:v>140</x:v>
      </x:c>
      <x:c r="I40" s="24" t="n">
        <x:f>IF(G40="","",G40/'01_关键参数'!$C$5)</x:f>
        <x:v>1.9</x:v>
      </x:c>
      <x:c r="J40" s="24" t="n">
        <x:f>IF(H40="","",H40/'01_关键参数'!$C$5)</x:f>
        <x:v>7</x:v>
      </x:c>
      <x:c r="K40" s="19" t="s">
        <x:v>699</x:v>
      </x:c>
      <x:c r="L40" s="20">
        <x:v>36</x:v>
      </x:c>
      <x:c r="M40" s="20">
        <x:v>120</x:v>
      </x:c>
      <x:c r="N40" s="24" t="n">
        <x:f>IF(L40="","",L40/'01_关键参数'!$C$5)</x:f>
        <x:v>1.8</x:v>
      </x:c>
      <x:c r="O40" s="24" t="n">
        <x:f>IF(M40="","",M40/'01_关键参数'!$C$5)</x:f>
        <x:v>6</x:v>
      </x:c>
      <x:c r="P40" s="19" t="s">
        <x:v>700</x:v>
      </x:c>
      <x:c r="Q40" s="19" t="s">
        <x:v>692</x:v>
      </x:c>
    </x:row>
    <x:row r="43" ht="22" customHeight="1">
      <x:c r="A43" s="5" t="s">
        <x:v>701</x:v>
      </x:c>
      <x:c r="B43" s="5"/>
      <x:c r="C43" s="5"/>
      <x:c r="D43" s="5"/>
    </x:row>
    <x:row r="44">
      <x:c r="A44" s="6" t="s">
        <x:v>702</x:v>
      </x:c>
      <x:c r="B44" s="6"/>
      <x:c r="C44" s="6"/>
      <x:c r="D44" s="6"/>
    </x:row>
    <x:row r="45" ht="17">
      <x:c r="A45" s="3" t="s">
        <x:v>703</x:v>
      </x:c>
      <x:c r="B45" s="3" t="s">
        <x:v>704</x:v>
      </x:c>
      <x:c r="C45" s="3" t="s">
        <x:v>705</x:v>
      </x:c>
      <x:c r="D45" s="3" t="s">
        <x:v>706</x:v>
      </x:c>
    </x:row>
    <x:row r="46" ht="34">
      <x:c r="A46" s="7" t="s">
        <x:v>707</x:v>
      </x:c>
      <x:c r="B46" s="7" t="s">
        <x:v>708</x:v>
      </x:c>
      <x:c r="C46" s="7" t="s">
        <x:v>709</x:v>
      </x:c>
      <x:c r="D46" s="7" t="s">
        <x:v>710</x:v>
      </x:c>
    </x:row>
    <x:row r="47" ht="17">
      <x:c r="A47" s="10" t="s">
        <x:v>711</x:v>
      </x:c>
      <x:c r="B47" s="10" t="s">
        <x:v>712</x:v>
      </x:c>
      <x:c r="C47" s="10" t="s">
        <x:v>713</x:v>
      </x:c>
      <x:c r="D47" s="10" t="s">
        <x:v>714</x:v>
      </x:c>
    </x:row>
    <x:row r="48" ht="17">
      <x:c r="A48" s="10" t="s">
        <x:v>715</x:v>
      </x:c>
      <x:c r="B48" s="10" t="s">
        <x:v>716</x:v>
      </x:c>
      <x:c r="C48" s="10" t="s">
        <x:v>717</x:v>
      </x:c>
      <x:c r="D48" s="10" t="s">
        <x:v>718</x:v>
      </x:c>
    </x:row>
    <x:row r="49" ht="17">
      <x:c r="A49" s="10" t="s">
        <x:v>719</x:v>
      </x:c>
      <x:c r="B49" s="10" t="s">
        <x:v>720</x:v>
      </x:c>
      <x:c r="C49" s="10" t="s">
        <x:v>721</x:v>
      </x:c>
      <x:c r="D49" s="10" t="s">
        <x:v>722</x:v>
      </x:c>
    </x:row>
    <x:row r="50" ht="17">
      <x:c r="A50" s="10" t="s">
        <x:v>723</x:v>
      </x:c>
      <x:c r="B50" s="10" t="s">
        <x:v>724</x:v>
      </x:c>
      <x:c r="C50" s="10" t="s">
        <x:v>725</x:v>
      </x:c>
      <x:c r="D50" s="10" t="s">
        <x:v>726</x:v>
      </x:c>
    </x:row>
    <x:row r="51" ht="34">
      <x:c r="A51" s="10" t="s">
        <x:v>727</x:v>
      </x:c>
      <x:c r="B51" s="10" t="s">
        <x:v>728</x:v>
      </x:c>
      <x:c r="C51" s="10" t="s">
        <x:v>729</x:v>
      </x:c>
      <x:c r="D51" s="10" t="s">
        <x:v>730</x:v>
      </x:c>
    </x:row>
  </x:sheetData>
  <x:mergeCells>
    <x:mergeCell ref="A1:Q1"/>
    <x:mergeCell ref="A2:Q2"/>
    <x:mergeCell ref="A43:D43"/>
    <x:mergeCell ref="A44:D44"/>
  </x:mergeCells>
  <x:pageMargins left="0.7" right="0.7" top="0.75" bottom="0.75" header="0.3" footer="0.3"/>
  <x:tableParts count="2">
    <x:tablePart xmlns:r="http://schemas.openxmlformats.org/officeDocument/2006/relationships" r:id="Rcdcef1e8b07e4d3e"/>
    <x:tablePart xmlns:r="http://schemas.openxmlformats.org/officeDocument/2006/relationships" r:id="Rd8334445e7d640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30" customWidth="1"/>
    <x:col min="2" max="2" width="25" customWidth="1"/>
    <x:col min="3" max="3" width="20" customWidth="1"/>
    <x:col min="4" max="8" width="16" customWidth="1"/>
    <x:col min="9" max="9" width="52" customWidth="1"/>
  </x:cols>
  <x:sheetData>
    <x:row r="1" ht="30" customHeight="1">
      <x:c r="A1" s="1" t="s">
        <x:v>731</x:v>
      </x:c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">
        <x:v>732</x:v>
      </x:c>
      <x:c r="B2" s="2"/>
      <x:c r="C2" s="2"/>
      <x:c r="D2" s="2"/>
      <x:c r="E2" s="2"/>
      <x:c r="F2" s="2"/>
      <x:c r="G2" s="2"/>
      <x:c r="H2" s="2"/>
      <x:c r="I2" s="2"/>
    </x:row>
    <x:row r="4" ht="22" customHeight="1">
      <x:c r="A4" s="5" t="s">
        <x:v>733</x:v>
      </x:c>
      <x:c r="B4" s="5"/>
      <x:c r="C4" s="5"/>
      <x:c r="D4" s="5"/>
      <x:c r="E4" s="5"/>
    </x:row>
    <x:row r="5">
      <x:c r="A5" s="6" t="s">
        <x:v>734</x:v>
      </x:c>
      <x:c r="B5" s="6"/>
      <x:c r="C5" s="6"/>
      <x:c r="D5" s="6"/>
      <x:c r="E5" s="6"/>
    </x:row>
    <x:row r="6" ht="17">
      <x:c r="A6" s="3" t="s">
        <x:v>735</x:v>
      </x:c>
      <x:c r="B6" s="3" t="s">
        <x:v>736</x:v>
      </x:c>
    </x:row>
    <x:row r="7" ht="17">
      <x:c r="A7" s="7" t="s">
        <x:v>737</x:v>
      </x:c>
      <x:c r="B7" s="22">
        <x:v>1</x:v>
      </x:c>
    </x:row>
    <x:row r="8" ht="17">
      <x:c r="A8" s="10" t="s">
        <x:v>738</x:v>
      </x:c>
      <x:c r="B8" s="23">
        <x:v>1.2</x:v>
      </x:c>
    </x:row>
    <x:row r="9" ht="17">
      <x:c r="A9" s="10" t="s">
        <x:v>739</x:v>
      </x:c>
      <x:c r="B9" s="23">
        <x:v>1.45</x:v>
      </x:c>
    </x:row>
    <x:row r="10" ht="17">
      <x:c r="A10" s="10" t="s">
        <x:v>740</x:v>
      </x:c>
      <x:c r="B10" s="23">
        <x:v>1.75</x:v>
      </x:c>
    </x:row>
    <x:row r="11" ht="17">
      <x:c r="A11" s="10" t="s">
        <x:v>741</x:v>
      </x:c>
      <x:c r="B11" s="23">
        <x:v>2.1</x:v>
      </x:c>
    </x:row>
    <x:row r="13" ht="22" customHeight="1">
      <x:c r="A13" s="5" t="s">
        <x:v>742</x:v>
      </x:c>
      <x:c r="B13" s="5"/>
      <x:c r="C13" s="5"/>
      <x:c r="D13" s="5"/>
      <x:c r="E13" s="5"/>
      <x:c r="F13" s="5"/>
      <x:c r="G13" s="5"/>
      <x:c r="H13" s="5"/>
    </x:row>
    <x:row r="14">
      <x:c r="A14" s="6" t="s">
        <x:v>743</x:v>
      </x:c>
      <x:c r="B14" s="6"/>
      <x:c r="C14" s="6"/>
      <x:c r="D14" s="6"/>
      <x:c r="E14" s="6"/>
      <x:c r="F14" s="6"/>
      <x:c r="G14" s="6"/>
      <x:c r="H14" s="6"/>
    </x:row>
    <x:row r="15" ht="17">
      <x:c r="A15" s="3" t="s">
        <x:v>744</x:v>
      </x:c>
      <x:c r="B15" s="3" t="s">
        <x:v>745</x:v>
      </x:c>
      <x:c r="C15" s="3" t="s">
        <x:v>746</x:v>
      </x:c>
      <x:c r="D15" s="3" t="s">
        <x:v>737</x:v>
      </x:c>
      <x:c r="E15" s="3" t="s">
        <x:v>738</x:v>
      </x:c>
      <x:c r="F15" s="3" t="s">
        <x:v>739</x:v>
      </x:c>
      <x:c r="G15" s="3" t="s">
        <x:v>740</x:v>
      </x:c>
      <x:c r="H15" s="3" t="s">
        <x:v>741</x:v>
      </x:c>
    </x:row>
    <x:row r="16">
      <x:c r="A16" t="s">
        <x:v>747</x:v>
      </x:c>
      <x:c r="B16" t="s">
        <x:v>748</x:v>
      </x:c>
      <x:c r="C16" s="4">
        <x:v>12</x:v>
      </x:c>
      <x:c r="D16" s="16" t="n">
        <x:f t="shared" ref="D16:D30" si="0">INT($C16*$B$7)</x:f>
        <x:v>12</x:v>
      </x:c>
      <x:c r="E16" s="16" t="n">
        <x:f t="shared" ref="E16:E30" si="1">INT($C16*$B$8)</x:f>
        <x:v>14</x:v>
      </x:c>
      <x:c r="F16" s="16" t="n">
        <x:f t="shared" ref="F16:F30" si="2">INT($C16*$B$9)</x:f>
        <x:v>17</x:v>
      </x:c>
      <x:c r="G16" s="16" t="n">
        <x:f t="shared" ref="G16:G30" si="3">INT($C16*$B$10)</x:f>
        <x:v>21</x:v>
      </x:c>
      <x:c r="H16" s="16" t="n">
        <x:f t="shared" ref="H16:H30" si="4">INT($C16*$B$11)</x:f>
        <x:v>25</x:v>
      </x:c>
    </x:row>
    <x:row r="17">
      <x:c r="A17" t="s">
        <x:v>747</x:v>
      </x:c>
      <x:c r="B17" t="s">
        <x:v>749</x:v>
      </x:c>
      <x:c r="C17" s="4">
        <x:v>10</x:v>
      </x:c>
      <x:c r="D17" s="16">
        <x:f t="shared" si="0"/>
        <x:v>10</x:v>
      </x:c>
      <x:c r="E17" s="16">
        <x:f t="shared" si="1"/>
        <x:v>12</x:v>
      </x:c>
      <x:c r="F17" s="16">
        <x:f t="shared" si="2"/>
        <x:v>14</x:v>
      </x:c>
      <x:c r="G17" s="16">
        <x:f t="shared" si="3"/>
        <x:v>17</x:v>
      </x:c>
      <x:c r="H17" s="16">
        <x:f t="shared" si="4"/>
        <x:v>21</x:v>
      </x:c>
    </x:row>
    <x:row r="18">
      <x:c r="A18" t="s">
        <x:v>747</x:v>
      </x:c>
      <x:c r="B18" t="s">
        <x:v>750</x:v>
      </x:c>
      <x:c r="C18" s="4">
        <x:v>8</x:v>
      </x:c>
      <x:c r="D18" s="16">
        <x:f t="shared" si="0"/>
        <x:v>8</x:v>
      </x:c>
      <x:c r="E18" s="16">
        <x:f t="shared" si="1"/>
        <x:v>9</x:v>
      </x:c>
      <x:c r="F18" s="16">
        <x:f t="shared" si="2"/>
        <x:v>11</x:v>
      </x:c>
      <x:c r="G18" s="16">
        <x:f t="shared" si="3"/>
        <x:v>14</x:v>
      </x:c>
      <x:c r="H18" s="16">
        <x:f t="shared" si="4"/>
        <x:v>16</x:v>
      </x:c>
    </x:row>
    <x:row r="19">
      <x:c r="A19" t="s">
        <x:v>751</x:v>
      </x:c>
      <x:c r="B19" t="s">
        <x:v>748</x:v>
      </x:c>
      <x:c r="C19" s="4">
        <x:v>18</x:v>
      </x:c>
      <x:c r="D19" s="16">
        <x:f t="shared" si="0"/>
        <x:v>18</x:v>
      </x:c>
      <x:c r="E19" s="16">
        <x:f t="shared" si="1"/>
        <x:v>21</x:v>
      </x:c>
      <x:c r="F19" s="16">
        <x:f t="shared" si="2"/>
        <x:v>26</x:v>
      </x:c>
      <x:c r="G19" s="16">
        <x:f t="shared" si="3"/>
        <x:v>31</x:v>
      </x:c>
      <x:c r="H19" s="16">
        <x:f t="shared" si="4"/>
        <x:v>37</x:v>
      </x:c>
    </x:row>
    <x:row r="20">
      <x:c r="A20" t="s">
        <x:v>751</x:v>
      </x:c>
      <x:c r="B20" t="s">
        <x:v>749</x:v>
      </x:c>
      <x:c r="C20" s="4">
        <x:v>16</x:v>
      </x:c>
      <x:c r="D20" s="16">
        <x:f t="shared" si="0"/>
        <x:v>16</x:v>
      </x:c>
      <x:c r="E20" s="16">
        <x:f t="shared" si="1"/>
        <x:v>19</x:v>
      </x:c>
      <x:c r="F20" s="16">
        <x:f t="shared" si="2"/>
        <x:v>23</x:v>
      </x:c>
      <x:c r="G20" s="16">
        <x:f t="shared" si="3"/>
        <x:v>28</x:v>
      </x:c>
      <x:c r="H20" s="16">
        <x:f t="shared" si="4"/>
        <x:v>33</x:v>
      </x:c>
    </x:row>
    <x:row r="21">
      <x:c r="A21" t="s">
        <x:v>751</x:v>
      </x:c>
      <x:c r="B21" t="s">
        <x:v>750</x:v>
      </x:c>
      <x:c r="C21" s="4">
        <x:v>12</x:v>
      </x:c>
      <x:c r="D21" s="16">
        <x:f t="shared" si="0"/>
        <x:v>12</x:v>
      </x:c>
      <x:c r="E21" s="16">
        <x:f t="shared" si="1"/>
        <x:v>14</x:v>
      </x:c>
      <x:c r="F21" s="16">
        <x:f t="shared" si="2"/>
        <x:v>17</x:v>
      </x:c>
      <x:c r="G21" s="16">
        <x:f t="shared" si="3"/>
        <x:v>21</x:v>
      </x:c>
      <x:c r="H21" s="16">
        <x:f t="shared" si="4"/>
        <x:v>25</x:v>
      </x:c>
    </x:row>
    <x:row r="22">
      <x:c r="A22" t="s">
        <x:v>752</x:v>
      </x:c>
      <x:c r="B22" t="s">
        <x:v>748</x:v>
      </x:c>
      <x:c r="C22" s="4">
        <x:v>24</x:v>
      </x:c>
      <x:c r="D22" s="16">
        <x:f t="shared" si="0"/>
        <x:v>24</x:v>
      </x:c>
      <x:c r="E22" s="16">
        <x:f t="shared" si="1"/>
        <x:v>28</x:v>
      </x:c>
      <x:c r="F22" s="16">
        <x:f t="shared" si="2"/>
        <x:v>34</x:v>
      </x:c>
      <x:c r="G22" s="16">
        <x:f t="shared" si="3"/>
        <x:v>42</x:v>
      </x:c>
      <x:c r="H22" s="16">
        <x:f t="shared" si="4"/>
        <x:v>50</x:v>
      </x:c>
    </x:row>
    <x:row r="23">
      <x:c r="A23" t="s">
        <x:v>752</x:v>
      </x:c>
      <x:c r="B23" t="s">
        <x:v>749</x:v>
      </x:c>
      <x:c r="C23" s="4">
        <x:v>22</x:v>
      </x:c>
      <x:c r="D23" s="16">
        <x:f t="shared" si="0"/>
        <x:v>22</x:v>
      </x:c>
      <x:c r="E23" s="16">
        <x:f t="shared" si="1"/>
        <x:v>26</x:v>
      </x:c>
      <x:c r="F23" s="16">
        <x:f t="shared" si="2"/>
        <x:v>31</x:v>
      </x:c>
      <x:c r="G23" s="16">
        <x:f t="shared" si="3"/>
        <x:v>38</x:v>
      </x:c>
      <x:c r="H23" s="16">
        <x:f t="shared" si="4"/>
        <x:v>46</x:v>
      </x:c>
    </x:row>
    <x:row r="24">
      <x:c r="A24" t="s">
        <x:v>752</x:v>
      </x:c>
      <x:c r="B24" t="s">
        <x:v>750</x:v>
      </x:c>
      <x:c r="C24" s="4">
        <x:v>16</x:v>
      </x:c>
      <x:c r="D24" s="16">
        <x:f t="shared" si="0"/>
        <x:v>16</x:v>
      </x:c>
      <x:c r="E24" s="16">
        <x:f t="shared" si="1"/>
        <x:v>19</x:v>
      </x:c>
      <x:c r="F24" s="16">
        <x:f t="shared" si="2"/>
        <x:v>23</x:v>
      </x:c>
      <x:c r="G24" s="16">
        <x:f t="shared" si="3"/>
        <x:v>28</x:v>
      </x:c>
      <x:c r="H24" s="16">
        <x:f t="shared" si="4"/>
        <x:v>33</x:v>
      </x:c>
    </x:row>
    <x:row r="25">
      <x:c r="A25" t="s">
        <x:v>753</x:v>
      </x:c>
      <x:c r="B25" t="s">
        <x:v>748</x:v>
      </x:c>
      <x:c r="C25" s="4">
        <x:v>32</x:v>
      </x:c>
      <x:c r="D25" s="16">
        <x:f t="shared" si="0"/>
        <x:v>32</x:v>
      </x:c>
      <x:c r="E25" s="16">
        <x:f t="shared" si="1"/>
        <x:v>38</x:v>
      </x:c>
      <x:c r="F25" s="16">
        <x:f t="shared" si="2"/>
        <x:v>46</x:v>
      </x:c>
      <x:c r="G25" s="16">
        <x:f t="shared" si="3"/>
        <x:v>56</x:v>
      </x:c>
      <x:c r="H25" s="16">
        <x:f t="shared" si="4"/>
        <x:v>67</x:v>
      </x:c>
    </x:row>
    <x:row r="26">
      <x:c r="A26" t="s">
        <x:v>753</x:v>
      </x:c>
      <x:c r="B26" t="s">
        <x:v>749</x:v>
      </x:c>
      <x:c r="C26" s="4">
        <x:v>28</x:v>
      </x:c>
      <x:c r="D26" s="16">
        <x:f t="shared" si="0"/>
        <x:v>28</x:v>
      </x:c>
      <x:c r="E26" s="16">
        <x:f t="shared" si="1"/>
        <x:v>33</x:v>
      </x:c>
      <x:c r="F26" s="16">
        <x:f t="shared" si="2"/>
        <x:v>40</x:v>
      </x:c>
      <x:c r="G26" s="16">
        <x:f t="shared" si="3"/>
        <x:v>49</x:v>
      </x:c>
      <x:c r="H26" s="16">
        <x:f t="shared" si="4"/>
        <x:v>58</x:v>
      </x:c>
    </x:row>
    <x:row r="27">
      <x:c r="A27" t="s">
        <x:v>753</x:v>
      </x:c>
      <x:c r="B27" t="s">
        <x:v>750</x:v>
      </x:c>
      <x:c r="C27" s="4">
        <x:v>20</x:v>
      </x:c>
      <x:c r="D27" s="16">
        <x:f t="shared" si="0"/>
        <x:v>20</x:v>
      </x:c>
      <x:c r="E27" s="16">
        <x:f t="shared" si="1"/>
        <x:v>24</x:v>
      </x:c>
      <x:c r="F27" s="16">
        <x:f t="shared" si="2"/>
        <x:v>29</x:v>
      </x:c>
      <x:c r="G27" s="16">
        <x:f t="shared" si="3"/>
        <x:v>35</x:v>
      </x:c>
      <x:c r="H27" s="16">
        <x:f t="shared" si="4"/>
        <x:v>42</x:v>
      </x:c>
    </x:row>
    <x:row r="28">
      <x:c r="A28" t="s">
        <x:v>754</x:v>
      </x:c>
      <x:c r="B28" t="s">
        <x:v>748</x:v>
      </x:c>
      <x:c r="C28" s="4">
        <x:v>40</x:v>
      </x:c>
      <x:c r="D28" s="16">
        <x:f t="shared" si="0"/>
        <x:v>40</x:v>
      </x:c>
      <x:c r="E28" s="16">
        <x:f t="shared" si="1"/>
        <x:v>48</x:v>
      </x:c>
      <x:c r="F28" s="16">
        <x:f t="shared" si="2"/>
        <x:v>58</x:v>
      </x:c>
      <x:c r="G28" s="16">
        <x:f t="shared" si="3"/>
        <x:v>70</x:v>
      </x:c>
      <x:c r="H28" s="16">
        <x:f t="shared" si="4"/>
        <x:v>84</x:v>
      </x:c>
    </x:row>
    <x:row r="29">
      <x:c r="A29" t="s">
        <x:v>754</x:v>
      </x:c>
      <x:c r="B29" t="s">
        <x:v>749</x:v>
      </x:c>
      <x:c r="C29" s="4">
        <x:v>36</x:v>
      </x:c>
      <x:c r="D29" s="16">
        <x:f t="shared" si="0"/>
        <x:v>36</x:v>
      </x:c>
      <x:c r="E29" s="16">
        <x:f t="shared" si="1"/>
        <x:v>43</x:v>
      </x:c>
      <x:c r="F29" s="16">
        <x:f t="shared" si="2"/>
        <x:v>52</x:v>
      </x:c>
      <x:c r="G29" s="16">
        <x:f t="shared" si="3"/>
        <x:v>63</x:v>
      </x:c>
      <x:c r="H29" s="16">
        <x:f t="shared" si="4"/>
        <x:v>75</x:v>
      </x:c>
    </x:row>
    <x:row r="30">
      <x:c r="A30" t="s">
        <x:v>754</x:v>
      </x:c>
      <x:c r="B30" t="s">
        <x:v>750</x:v>
      </x:c>
      <x:c r="C30" s="4">
        <x:v>26</x:v>
      </x:c>
      <x:c r="D30" s="16">
        <x:f t="shared" si="0"/>
        <x:v>26</x:v>
      </x:c>
      <x:c r="E30" s="16">
        <x:f t="shared" si="1"/>
        <x:v>31</x:v>
      </x:c>
      <x:c r="F30" s="16">
        <x:f t="shared" si="2"/>
        <x:v>37</x:v>
      </x:c>
      <x:c r="G30" s="16">
        <x:f t="shared" si="3"/>
        <x:v>45</x:v>
      </x:c>
      <x:c r="H30" s="16">
        <x:f t="shared" si="4"/>
        <x:v>54</x:v>
      </x:c>
    </x:row>
    <x:row r="33" ht="22" customHeight="1">
      <x:c r="A33" s="5" t="s">
        <x:v>755</x:v>
      </x:c>
      <x:c r="B33" s="5"/>
      <x:c r="C33" s="5"/>
      <x:c r="D33" s="5"/>
      <x:c r="E33" s="5"/>
    </x:row>
    <x:row r="34">
      <x:c r="A34" s="6" t="s">
        <x:v>756</x:v>
      </x:c>
      <x:c r="B34" s="6"/>
      <x:c r="C34" s="6"/>
      <x:c r="D34" s="6"/>
      <x:c r="E34" s="6"/>
    </x:row>
    <x:row r="35" ht="17">
      <x:c r="A35" s="3" t="s">
        <x:v>735</x:v>
      </x:c>
      <x:c r="B35" s="3" t="s">
        <x:v>757</x:v>
      </x:c>
    </x:row>
    <x:row r="36" ht="17">
      <x:c r="A36" s="7" t="s">
        <x:v>737</x:v>
      </x:c>
      <x:c r="B36" s="9">
        <x:v>60</x:v>
      </x:c>
    </x:row>
    <x:row r="37" ht="17">
      <x:c r="A37" s="10" t="s">
        <x:v>738</x:v>
      </x:c>
      <x:c r="B37" s="11">
        <x:v>120</x:v>
      </x:c>
    </x:row>
    <x:row r="38" ht="17">
      <x:c r="A38" s="10" t="s">
        <x:v>739</x:v>
      </x:c>
      <x:c r="B38" s="11">
        <x:v>240</x:v>
      </x:c>
    </x:row>
    <x:row r="39" ht="17">
      <x:c r="A39" s="10" t="s">
        <x:v>740</x:v>
      </x:c>
      <x:c r="B39" s="11">
        <x:v>480</x:v>
      </x:c>
    </x:row>
    <x:row r="40" ht="17">
      <x:c r="A40" s="10" t="s">
        <x:v>741</x:v>
      </x:c>
      <x:c r="B40" s="11">
        <x:v>900</x:v>
      </x:c>
    </x:row>
    <x:row r="43" ht="22" customHeight="1">
      <x:c r="A43" s="5" t="s">
        <x:v>758</x:v>
      </x:c>
      <x:c r="B43" s="5"/>
      <x:c r="C43" s="5"/>
    </x:row>
    <x:row r="44">
      <x:c r="A44" s="6" t="s">
        <x:v>759</x:v>
      </x:c>
      <x:c r="B44" s="6"/>
      <x:c r="C44" s="6"/>
    </x:row>
    <x:row r="45" ht="17">
      <x:c r="A45" s="3" t="s">
        <x:v>760</x:v>
      </x:c>
      <x:c r="B45" s="3" t="s">
        <x:v>761</x:v>
      </x:c>
      <x:c r="C45" s="3" t="s">
        <x:v>762</x:v>
      </x:c>
    </x:row>
    <x:row r="46" ht="34">
      <x:c r="A46" s="7" t="s">
        <x:v>763</x:v>
      </x:c>
      <x:c r="B46" s="7" t="s">
        <x:v>764</x:v>
      </x:c>
      <x:c r="C46" s="7" t="s">
        <x:v>765</x:v>
      </x:c>
    </x:row>
    <x:row r="47" ht="34">
      <x:c r="A47" s="10" t="s">
        <x:v>766</x:v>
      </x:c>
      <x:c r="B47" s="10" t="s">
        <x:v>767</x:v>
      </x:c>
      <x:c r="C47" s="10" t="s">
        <x:v>768</x:v>
      </x:c>
    </x:row>
    <x:row r="48" ht="34">
      <x:c r="A48" s="10" t="s">
        <x:v>769</x:v>
      </x:c>
      <x:c r="B48" s="10" t="s">
        <x:v>770</x:v>
      </x:c>
      <x:c r="C48" s="10" t="s">
        <x:v>771</x:v>
      </x:c>
    </x:row>
    <x:row r="49" ht="34">
      <x:c r="A49" s="10" t="s">
        <x:v>772</x:v>
      </x:c>
      <x:c r="B49" s="10" t="s">
        <x:v>773</x:v>
      </x:c>
      <x:c r="C49" s="10" t="s">
        <x:v>774</x:v>
      </x:c>
    </x:row>
    <x:row r="50" ht="17">
      <x:c r="A50" s="10" t="s">
        <x:v>775</x:v>
      </x:c>
      <x:c r="B50" s="10" t="s">
        <x:v>776</x:v>
      </x:c>
      <x:c r="C50" s="10" t="s">
        <x:v>777</x:v>
      </x:c>
    </x:row>
    <x:row r="51" ht="17">
      <x:c r="A51" s="10" t="s">
        <x:v>778</x:v>
      </x:c>
      <x:c r="B51" s="10" t="s">
        <x:v>779</x:v>
      </x:c>
      <x:c r="C51" s="10" t="s">
        <x:v>777</x:v>
      </x:c>
    </x:row>
    <x:row r="52" ht="17">
      <x:c r="A52" s="10" t="s">
        <x:v>780</x:v>
      </x:c>
      <x:c r="B52" s="10" t="s">
        <x:v>781</x:v>
      </x:c>
      <x:c r="C52" s="10" t="s">
        <x:v>777</x:v>
      </x:c>
    </x:row>
    <x:row r="53" ht="34">
      <x:c r="A53" s="10" t="s">
        <x:v>782</x:v>
      </x:c>
      <x:c r="B53" s="10" t="s">
        <x:v>783</x:v>
      </x:c>
      <x:c r="C53" s="10" t="s">
        <x:v>784</x:v>
      </x:c>
    </x:row>
    <x:row r="54" ht="34">
      <x:c r="A54" s="10" t="s">
        <x:v>785</x:v>
      </x:c>
      <x:c r="B54" s="10" t="s">
        <x:v>783</x:v>
      </x:c>
      <x:c r="C54" s="10" t="s">
        <x:v>786</x:v>
      </x:c>
    </x:row>
    <x:row r="55" ht="34">
      <x:c r="A55" s="10" t="s">
        <x:v>787</x:v>
      </x:c>
      <x:c r="B55" s="10" t="s">
        <x:v>783</x:v>
      </x:c>
      <x:c r="C55" s="10" t="s">
        <x:v>788</x:v>
      </x:c>
    </x:row>
    <x:row r="56" ht="34">
      <x:c r="A56" s="10" t="s">
        <x:v>789</x:v>
      </x:c>
      <x:c r="B56" s="10" t="s">
        <x:v>783</x:v>
      </x:c>
      <x:c r="C56" s="10" t="s">
        <x:v>790</x:v>
      </x:c>
    </x:row>
    <x:row r="57" ht="34">
      <x:c r="A57" s="10" t="s">
        <x:v>791</x:v>
      </x:c>
      <x:c r="B57" s="10" t="s">
        <x:v>783</x:v>
      </x:c>
      <x:c r="C57" s="10" t="s">
        <x:v>792</x:v>
      </x:c>
    </x:row>
    <x:row r="60" ht="22" customHeight="1">
      <x:c r="A60" s="5" t="s">
        <x:v>758</x:v>
      </x:c>
      <x:c r="B60" s="5"/>
      <x:c r="C60" s="5"/>
      <x:c r="D60" s="5"/>
      <x:c r="E60" s="5"/>
      <x:c r="F60" s="5"/>
    </x:row>
    <x:row r="61">
      <x:c r="A61" s="6" t="s">
        <x:v>793</x:v>
      </x:c>
      <x:c r="B61" s="6"/>
      <x:c r="C61" s="6"/>
      <x:c r="D61" s="6"/>
      <x:c r="E61" s="6"/>
      <x:c r="F61" s="6"/>
    </x:row>
    <x:row r="62" ht="17">
      <x:c r="A62" s="3" t="s">
        <x:v>794</x:v>
      </x:c>
      <x:c r="B62" s="3" t="s">
        <x:v>737</x:v>
      </x:c>
      <x:c r="C62" s="3" t="s">
        <x:v>738</x:v>
      </x:c>
      <x:c r="D62" s="3" t="s">
        <x:v>739</x:v>
      </x:c>
      <x:c r="E62" s="3" t="s">
        <x:v>740</x:v>
      </x:c>
      <x:c r="F62" s="3" t="s">
        <x:v>741</x:v>
      </x:c>
    </x:row>
    <x:row r="63" ht="17">
      <x:c r="A63" s="7" t="s">
        <x:v>795</x:v>
      </x:c>
      <x:c r="B63" s="7" t="s">
        <x:v>796</x:v>
      </x:c>
      <x:c r="C63" s="7" t="s">
        <x:v>797</x:v>
      </x:c>
      <x:c r="D63" s="7" t="s">
        <x:v>798</x:v>
      </x:c>
      <x:c r="E63" s="7" t="s">
        <x:v>799</x:v>
      </x:c>
      <x:c r="F63" s="7" t="s">
        <x:v>800</x:v>
      </x:c>
    </x:row>
    <x:row r="64" ht="17">
      <x:c r="A64" s="10" t="s">
        <x:v>801</x:v>
      </x:c>
      <x:c r="B64" s="10" t="s">
        <x:v>802</x:v>
      </x:c>
      <x:c r="C64" s="10" t="s">
        <x:v>796</x:v>
      </x:c>
      <x:c r="D64" s="10" t="s">
        <x:v>797</x:v>
      </x:c>
      <x:c r="E64" s="10" t="s">
        <x:v>798</x:v>
      </x:c>
      <x:c r="F64" s="10" t="s">
        <x:v>799</x:v>
      </x:c>
    </x:row>
    <x:row r="65" ht="17">
      <x:c r="A65" s="10" t="s">
        <x:v>803</x:v>
      </x:c>
      <x:c r="B65" s="10" t="s">
        <x:v>796</x:v>
      </x:c>
      <x:c r="C65" s="10" t="s">
        <x:v>797</x:v>
      </x:c>
      <x:c r="D65" s="10" t="s">
        <x:v>798</x:v>
      </x:c>
      <x:c r="E65" s="10" t="s">
        <x:v>799</x:v>
      </x:c>
      <x:c r="F65" s="10" t="s">
        <x:v>800</x:v>
      </x:c>
    </x:row>
    <x:row r="66" ht="17">
      <x:c r="A66" s="10" t="s">
        <x:v>804</x:v>
      </x:c>
      <x:c r="B66" s="10" t="s">
        <x:v>797</x:v>
      </x:c>
      <x:c r="C66" s="10" t="s">
        <x:v>798</x:v>
      </x:c>
      <x:c r="D66" s="10" t="s">
        <x:v>799</x:v>
      </x:c>
      <x:c r="E66" s="10" t="s">
        <x:v>800</x:v>
      </x:c>
      <x:c r="F66" s="10" t="s">
        <x:v>805</x:v>
      </x:c>
    </x:row>
    <x:row r="67" ht="17">
      <x:c r="A67" s="10" t="s">
        <x:v>806</x:v>
      </x:c>
      <x:c r="B67" s="10" t="s">
        <x:v>797</x:v>
      </x:c>
      <x:c r="C67" s="10" t="s">
        <x:v>798</x:v>
      </x:c>
      <x:c r="D67" s="10" t="s">
        <x:v>799</x:v>
      </x:c>
      <x:c r="E67" s="10" t="s">
        <x:v>800</x:v>
      </x:c>
      <x:c r="F67" s="10" t="s">
        <x:v>805</x:v>
      </x:c>
    </x:row>
    <x:row r="70" ht="22" customHeight="1">
      <x:c r="A70" s="5" t="s">
        <x:v>807</x:v>
      </x:c>
      <x:c r="B70" s="5"/>
      <x:c r="C70" s="5"/>
    </x:row>
    <x:row r="71">
      <x:c r="A71" s="6" t="s">
        <x:v>808</x:v>
      </x:c>
      <x:c r="B71" s="6"/>
      <x:c r="C71" s="6"/>
    </x:row>
    <x:row r="72" ht="17">
      <x:c r="A72" s="3" t="s">
        <x:v>809</x:v>
      </x:c>
      <x:c r="B72" s="3" t="s">
        <x:v>810</x:v>
      </x:c>
      <x:c r="C72" s="3" t="s">
        <x:v>811</x:v>
      </x:c>
    </x:row>
    <x:row r="73" ht="17">
      <x:c r="A73" s="7" t="s">
        <x:v>812</x:v>
      </x:c>
      <x:c r="B73" s="7" t="s">
        <x:v>813</x:v>
      </x:c>
      <x:c r="C73" s="7" t="s">
        <x:v>814</x:v>
      </x:c>
    </x:row>
    <x:row r="74" ht="17">
      <x:c r="A74" s="10" t="s">
        <x:v>815</x:v>
      </x:c>
      <x:c r="B74" s="10" t="s">
        <x:v>813</x:v>
      </x:c>
      <x:c r="C74" s="10" t="s">
        <x:v>814</x:v>
      </x:c>
    </x:row>
    <x:row r="75" ht="34">
      <x:c r="A75" s="10" t="s">
        <x:v>775</x:v>
      </x:c>
      <x:c r="B75" s="10" t="s">
        <x:v>816</x:v>
      </x:c>
      <x:c r="C75" s="10" t="s">
        <x:v>817</x:v>
      </x:c>
    </x:row>
    <x:row r="76" ht="34">
      <x:c r="A76" s="10" t="s">
        <x:v>778</x:v>
      </x:c>
      <x:c r="B76" s="10" t="s">
        <x:v>818</x:v>
      </x:c>
      <x:c r="C76" s="10" t="s">
        <x:v>819</x:v>
      </x:c>
    </x:row>
    <x:row r="77" ht="34">
      <x:c r="A77" s="10" t="s">
        <x:v>780</x:v>
      </x:c>
      <x:c r="B77" s="10" t="s">
        <x:v>820</x:v>
      </x:c>
      <x:c r="C77" s="10" t="s">
        <x:v>821</x:v>
      </x:c>
    </x:row>
    <x:row r="80" ht="22" customHeight="1">
      <x:c r="A80" s="5" t="s">
        <x:v>822</x:v>
      </x:c>
      <x:c r="B80" s="5"/>
      <x:c r="C80" s="5"/>
    </x:row>
    <x:row r="81">
      <x:c r="A81" s="6" t="s">
        <x:v>823</x:v>
      </x:c>
      <x:c r="B81" s="6"/>
      <x:c r="C81" s="6"/>
    </x:row>
    <x:row r="82" ht="17">
      <x:c r="A82" s="3" t="s">
        <x:v>824</x:v>
      </x:c>
      <x:c r="B82" s="3" t="s">
        <x:v>825</x:v>
      </x:c>
      <x:c r="C82" s="3" t="s">
        <x:v>826</x:v>
      </x:c>
    </x:row>
    <x:row r="83" ht="17">
      <x:c r="A83" s="7" t="s">
        <x:v>827</x:v>
      </x:c>
      <x:c r="B83" s="7" t="s">
        <x:v>828</x:v>
      </x:c>
      <x:c r="C83" s="7" t="s">
        <x:v>772</x:v>
      </x:c>
    </x:row>
    <x:row r="84" ht="17">
      <x:c r="A84" s="10" t="s">
        <x:v>829</x:v>
      </x:c>
      <x:c r="B84" s="10" t="s">
        <x:v>830</x:v>
      </x:c>
      <x:c r="C84" s="10" t="s">
        <x:v>766</x:v>
      </x:c>
    </x:row>
    <x:row r="85" ht="17">
      <x:c r="A85" s="10" t="s">
        <x:v>831</x:v>
      </x:c>
      <x:c r="B85" s="10" t="s">
        <x:v>832</x:v>
      </x:c>
      <x:c r="C85" s="10" t="s">
        <x:v>769</x:v>
      </x:c>
    </x:row>
    <x:row r="86" ht="17">
      <x:c r="A86" s="10" t="s">
        <x:v>833</x:v>
      </x:c>
      <x:c r="B86" s="10" t="s">
        <x:v>834</x:v>
      </x:c>
      <x:c r="C86" s="10" t="s">
        <x:v>763</x:v>
      </x:c>
    </x:row>
    <x:row r="87" ht="17">
      <x:c r="A87" s="10" t="s">
        <x:v>835</x:v>
      </x:c>
      <x:c r="B87" s="10" t="s">
        <x:v>836</x:v>
      </x:c>
      <x:c r="C87" s="10" t="s">
        <x:v>775</x:v>
      </x:c>
    </x:row>
    <x:row r="88" ht="17">
      <x:c r="A88" s="10" t="s">
        <x:v>837</x:v>
      </x:c>
      <x:c r="B88" s="10" t="s">
        <x:v>838</x:v>
      </x:c>
      <x:c r="C88" s="10" t="s">
        <x:v>780</x:v>
      </x:c>
    </x:row>
    <x:row r="89" ht="17">
      <x:c r="A89" s="10" t="s">
        <x:v>839</x:v>
      </x:c>
      <x:c r="B89" s="10" t="s">
        <x:v>840</x:v>
      </x:c>
      <x:c r="C89" s="10" t="s">
        <x:v>750</x:v>
      </x:c>
    </x:row>
    <x:row r="90" ht="17">
      <x:c r="A90" s="10" t="s">
        <x:v>841</x:v>
      </x:c>
      <x:c r="B90" s="10" t="s">
        <x:v>842</x:v>
      </x:c>
      <x:c r="C90" s="10" t="s">
        <x:v>750</x:v>
      </x:c>
    </x:row>
    <x:row r="91" ht="17">
      <x:c r="A91" s="10" t="s">
        <x:v>843</x:v>
      </x:c>
      <x:c r="B91" s="10" t="s">
        <x:v>844</x:v>
      </x:c>
      <x:c r="C91" s="10" t="s">
        <x:v>750</x:v>
      </x:c>
    </x:row>
    <x:row r="92" ht="17">
      <x:c r="A92" s="10" t="s">
        <x:v>845</x:v>
      </x:c>
      <x:c r="B92" s="10" t="s">
        <x:v>846</x:v>
      </x:c>
      <x:c r="C92" s="10" t="s">
        <x:v>750</x:v>
      </x:c>
    </x:row>
    <x:row r="93" ht="17">
      <x:c r="A93" s="10" t="s">
        <x:v>847</x:v>
      </x:c>
      <x:c r="B93" s="10" t="s">
        <x:v>848</x:v>
      </x:c>
      <x:c r="C93" s="10" t="s">
        <x:v>772</x:v>
      </x:c>
    </x:row>
    <x:row r="94" ht="17">
      <x:c r="A94" s="10" t="s">
        <x:v>849</x:v>
      </x:c>
      <x:c r="B94" s="10" t="s">
        <x:v>850</x:v>
      </x:c>
      <x:c r="C94" s="10" t="s">
        <x:v>766</x:v>
      </x:c>
    </x:row>
    <x:row r="95" ht="17">
      <x:c r="A95" s="10" t="s">
        <x:v>851</x:v>
      </x:c>
      <x:c r="B95" s="10" t="s">
        <x:v>852</x:v>
      </x:c>
      <x:c r="C95" s="10" t="s">
        <x:v>769</x:v>
      </x:c>
    </x:row>
    <x:row r="96" ht="17">
      <x:c r="A96" s="10" t="s">
        <x:v>853</x:v>
      </x:c>
      <x:c r="B96" s="10" t="s">
        <x:v>854</x:v>
      </x:c>
      <x:c r="C96" s="10" t="s">
        <x:v>763</x:v>
      </x:c>
    </x:row>
    <x:row r="97" ht="17">
      <x:c r="A97" s="10" t="s">
        <x:v>855</x:v>
      </x:c>
      <x:c r="B97" s="10" t="s">
        <x:v>856</x:v>
      </x:c>
      <x:c r="C97" s="10" t="s">
        <x:v>775</x:v>
      </x:c>
    </x:row>
    <x:row r="98" ht="17">
      <x:c r="A98" s="10" t="s">
        <x:v>857</x:v>
      </x:c>
      <x:c r="B98" s="10" t="s">
        <x:v>858</x:v>
      </x:c>
      <x:c r="C98" s="10" t="s">
        <x:v>778</x:v>
      </x:c>
    </x:row>
    <x:row r="99" ht="17">
      <x:c r="A99" s="10" t="s">
        <x:v>859</x:v>
      </x:c>
      <x:c r="B99" s="10" t="s">
        <x:v>860</x:v>
      </x:c>
      <x:c r="C99" s="10" t="s">
        <x:v>750</x:v>
      </x:c>
    </x:row>
    <x:row r="100" ht="17">
      <x:c r="A100" s="10" t="s">
        <x:v>861</x:v>
      </x:c>
      <x:c r="B100" s="10" t="s">
        <x:v>862</x:v>
      </x:c>
      <x:c r="C100" s="10" t="s">
        <x:v>750</x:v>
      </x:c>
    </x:row>
    <x:row r="101" ht="17">
      <x:c r="A101" s="10" t="s">
        <x:v>863</x:v>
      </x:c>
      <x:c r="B101" s="10" t="s">
        <x:v>864</x:v>
      </x:c>
      <x:c r="C101" s="10" t="s">
        <x:v>750</x:v>
      </x:c>
    </x:row>
    <x:row r="102" ht="17">
      <x:c r="A102" s="10" t="s">
        <x:v>865</x:v>
      </x:c>
      <x:c r="B102" s="10" t="s">
        <x:v>866</x:v>
      </x:c>
      <x:c r="C102" s="10" t="s">
        <x:v>772</x:v>
      </x:c>
    </x:row>
    <x:row r="103" ht="17">
      <x:c r="A103" s="10" t="s">
        <x:v>867</x:v>
      </x:c>
      <x:c r="B103" s="10" t="s">
        <x:v>868</x:v>
      </x:c>
      <x:c r="C103" s="10" t="s">
        <x:v>769</x:v>
      </x:c>
    </x:row>
    <x:row r="104" ht="17">
      <x:c r="A104" s="10" t="s">
        <x:v>869</x:v>
      </x:c>
      <x:c r="B104" s="10" t="s">
        <x:v>870</x:v>
      </x:c>
      <x:c r="C104" s="10" t="s">
        <x:v>766</x:v>
      </x:c>
    </x:row>
    <x:row r="105" ht="17">
      <x:c r="A105" s="10" t="s">
        <x:v>871</x:v>
      </x:c>
      <x:c r="B105" s="10" t="s">
        <x:v>872</x:v>
      </x:c>
      <x:c r="C105" s="10" t="s">
        <x:v>775</x:v>
      </x:c>
    </x:row>
    <x:row r="106" ht="17">
      <x:c r="A106" s="10" t="s">
        <x:v>873</x:v>
      </x:c>
      <x:c r="B106" s="10" t="s">
        <x:v>874</x:v>
      </x:c>
      <x:c r="C106" s="10" t="s">
        <x:v>778</x:v>
      </x:c>
    </x:row>
    <x:row r="107" ht="17">
      <x:c r="A107" s="10" t="s">
        <x:v>875</x:v>
      </x:c>
      <x:c r="B107" s="10" t="s">
        <x:v>876</x:v>
      </x:c>
      <x:c r="C107" s="10" t="s">
        <x:v>769</x:v>
      </x:c>
    </x:row>
    <x:row r="108" ht="17">
      <x:c r="A108" s="10" t="s">
        <x:v>877</x:v>
      </x:c>
      <x:c r="B108" s="10" t="s">
        <x:v>878</x:v>
      </x:c>
      <x:c r="C108" s="10" t="s">
        <x:v>763</x:v>
      </x:c>
    </x:row>
    <x:row r="111" ht="22" customHeight="1">
      <x:c r="A111" s="5" t="s">
        <x:v>879</x:v>
      </x:c>
      <x:c r="B111" s="5"/>
    </x:row>
    <x:row r="112">
      <x:c r="A112" s="6" t="s">
        <x:v>880</x:v>
      </x:c>
      <x:c r="B112" s="6"/>
    </x:row>
    <x:row r="113" ht="17">
      <x:c r="A113" s="3" t="s">
        <x:v>494</x:v>
      </x:c>
      <x:c r="B113" s="3" t="s">
        <x:v>881</x:v>
      </x:c>
    </x:row>
    <x:row r="114" ht="34">
      <x:c r="A114" s="7" t="s">
        <x:v>882</x:v>
      </x:c>
      <x:c r="B114" s="7" t="s">
        <x:v>883</x:v>
      </x:c>
    </x:row>
    <x:row r="115" ht="34">
      <x:c r="A115" s="10" t="s">
        <x:v>884</x:v>
      </x:c>
      <x:c r="B115" s="10" t="s">
        <x:v>885</x:v>
      </x:c>
    </x:row>
    <x:row r="116" ht="34">
      <x:c r="A116" s="10" t="s">
        <x:v>496</x:v>
      </x:c>
      <x:c r="B116" s="10" t="s">
        <x:v>886</x:v>
      </x:c>
    </x:row>
    <x:row r="117" ht="34">
      <x:c r="A117" s="10" t="s">
        <x:v>887</x:v>
      </x:c>
      <x:c r="B117" s="10" t="s">
        <x:v>888</x:v>
      </x:c>
    </x:row>
    <x:row r="118" ht="17">
      <x:c r="A118" s="10" t="s">
        <x:v>889</x:v>
      </x:c>
      <x:c r="B118" s="10" t="s">
        <x:v>890</x:v>
      </x:c>
    </x:row>
    <x:row r="119" ht="68">
      <x:c r="A119" s="10" t="s">
        <x:v>891</x:v>
      </x:c>
      <x:c r="B119" s="10" t="s">
        <x:v>892</x:v>
      </x:c>
    </x:row>
    <x:row r="122" ht="22" customHeight="1">
      <x:c r="A122" s="5" t="s">
        <x:v>893</x:v>
      </x:c>
      <x:c r="B122" s="5"/>
      <x:c r="C122" s="5"/>
      <x:c r="D122" s="5"/>
      <x:c r="E122" s="5"/>
      <x:c r="F122" s="5"/>
      <x:c r="G122" s="5"/>
    </x:row>
    <x:row r="123">
      <x:c r="A123" s="6" t="s">
        <x:v>894</x:v>
      </x:c>
      <x:c r="B123" s="6"/>
      <x:c r="C123" s="6"/>
      <x:c r="D123" s="6"/>
      <x:c r="E123" s="6"/>
      <x:c r="F123" s="6"/>
      <x:c r="G123" s="6"/>
    </x:row>
    <x:row r="124" ht="17">
      <x:c r="A124" s="3" t="s">
        <x:v>502</x:v>
      </x:c>
      <x:c r="B124" s="3" t="s">
        <x:v>737</x:v>
      </x:c>
      <x:c r="C124" s="3" t="s">
        <x:v>738</x:v>
      </x:c>
      <x:c r="D124" s="3" t="s">
        <x:v>739</x:v>
      </x:c>
      <x:c r="E124" s="3" t="s">
        <x:v>740</x:v>
      </x:c>
      <x:c r="F124" s="3" t="s">
        <x:v>741</x:v>
      </x:c>
      <x:c r="G124" s="3" t="s">
        <x:v>895</x:v>
      </x:c>
    </x:row>
    <x:row r="125" ht="17">
      <x:c r="A125" s="7" t="s">
        <x:v>896</x:v>
      </x:c>
      <x:c r="B125" s="8">
        <x:v>0.65</x:v>
      </x:c>
      <x:c r="C125" s="8">
        <x:v>0.3</x:v>
      </x:c>
      <x:c r="D125" s="8">
        <x:v>0.05</x:v>
      </x:c>
      <x:c r="E125" s="9">
        <x:v>0</x:v>
      </x:c>
      <x:c r="F125" s="9">
        <x:v>0</x:v>
      </x:c>
      <x:c r="G125" s="9">
        <x:v>0</x:v>
      </x:c>
    </x:row>
    <x:row r="126" ht="17">
      <x:c r="A126" s="10" t="s">
        <x:v>897</x:v>
      </x:c>
      <x:c r="B126" s="12">
        <x:v>0.25</x:v>
      </x:c>
      <x:c r="C126" s="12">
        <x:v>0.55</x:v>
      </x:c>
      <x:c r="D126" s="12">
        <x:v>0.2</x:v>
      </x:c>
      <x:c r="E126" s="11">
        <x:v>0</x:v>
      </x:c>
      <x:c r="F126" s="11">
        <x:v>0</x:v>
      </x:c>
      <x:c r="G126" s="11">
        <x:v>0</x:v>
      </x:c>
    </x:row>
    <x:row r="127" ht="17">
      <x:c r="A127" s="10" t="s">
        <x:v>898</x:v>
      </x:c>
      <x:c r="B127" s="11">
        <x:v>0</x:v>
      </x:c>
      <x:c r="C127" s="12">
        <x:v>0.15</x:v>
      </x:c>
      <x:c r="D127" s="12">
        <x:v>0.82</x:v>
      </x:c>
      <x:c r="E127" s="12">
        <x:v>0.03</x:v>
      </x:c>
      <x:c r="F127" s="11">
        <x:v>0</x:v>
      </x:c>
      <x:c r="G127" s="11">
        <x:v>0</x:v>
      </x:c>
    </x:row>
    <x:row r="128" ht="17">
      <x:c r="A128" s="10" t="s">
        <x:v>899</x:v>
      </x:c>
      <x:c r="B128" s="11">
        <x:v>0</x:v>
      </x:c>
      <x:c r="C128" s="11">
        <x:v>0</x:v>
      </x:c>
      <x:c r="D128" s="12">
        <x:v>0.92</x:v>
      </x:c>
      <x:c r="E128" s="12">
        <x:v>0.08</x:v>
      </x:c>
      <x:c r="F128" s="11">
        <x:v>0</x:v>
      </x:c>
      <x:c r="G128" s="11">
        <x:v>0</x:v>
      </x:c>
    </x:row>
    <x:row r="131" ht="22" customHeight="1">
      <x:c r="A131" s="5" t="s">
        <x:v>900</x:v>
      </x:c>
      <x:c r="B131" s="5"/>
      <x:c r="C131" s="5"/>
      <x:c r="D131" s="5"/>
    </x:row>
    <x:row r="132">
      <x:c r="A132" s="6" t="s">
        <x:v>901</x:v>
      </x:c>
      <x:c r="B132" s="6"/>
      <x:c r="C132" s="6"/>
      <x:c r="D132" s="6"/>
    </x:row>
    <x:row r="133" ht="17">
      <x:c r="A133" s="3" t="s">
        <x:v>902</x:v>
      </x:c>
      <x:c r="B133" s="3" t="s">
        <x:v>903</x:v>
      </x:c>
      <x:c r="C133" s="3" t="s">
        <x:v>904</x:v>
      </x:c>
      <x:c r="D133" s="3" t="s">
        <x:v>905</x:v>
      </x:c>
    </x:row>
    <x:row r="134" ht="17">
      <x:c r="A134" s="7" t="s">
        <x:v>737</x:v>
      </x:c>
      <x:c r="B134" s="9">
        <x:v>8</x:v>
      </x:c>
      <x:c r="C134" s="9">
        <x:v>0</x:v>
      </x:c>
      <x:c r="D134" s="9">
        <x:v>1</x:v>
      </x:c>
    </x:row>
    <x:row r="135" ht="17">
      <x:c r="A135" s="10" t="s">
        <x:v>738</x:v>
      </x:c>
      <x:c r="B135" s="11">
        <x:v>18</x:v>
      </x:c>
      <x:c r="C135" s="11">
        <x:v>0</x:v>
      </x:c>
      <x:c r="D135" s="11">
        <x:v>1</x:v>
      </x:c>
    </x:row>
    <x:row r="136" ht="17">
      <x:c r="A136" s="10" t="s">
        <x:v>739</x:v>
      </x:c>
      <x:c r="B136" s="11">
        <x:v>36</x:v>
      </x:c>
      <x:c r="C136" s="11">
        <x:v>1</x:v>
      </x:c>
      <x:c r="D136" s="11">
        <x:v>1</x:v>
      </x:c>
    </x:row>
    <x:row r="137" ht="17">
      <x:c r="A137" s="10" t="s">
        <x:v>740</x:v>
      </x:c>
      <x:c r="B137" s="11">
        <x:v>70</x:v>
      </x:c>
      <x:c r="C137" s="11">
        <x:v>4</x:v>
      </x:c>
      <x:c r="D137" s="11">
        <x:v>1</x:v>
      </x:c>
    </x:row>
    <x:row r="138" ht="17">
      <x:c r="A138" s="10" t="s">
        <x:v>741</x:v>
      </x:c>
      <x:c r="B138" s="11">
        <x:v>130</x:v>
      </x:c>
      <x:c r="C138" s="11">
        <x:v>12</x:v>
      </x:c>
      <x:c r="D138" s="11">
        <x:v>1</x:v>
      </x:c>
    </x:row>
    <x:row r="141" ht="22" customHeight="1">
      <x:c r="A141" s="5" t="s">
        <x:v>906</x:v>
      </x:c>
      <x:c r="B141" s="5"/>
      <x:c r="C141" s="5"/>
      <x:c r="D141" s="5"/>
    </x:row>
    <x:row r="142">
      <x:c r="A142" s="6" t="s">
        <x:v>907</x:v>
      </x:c>
      <x:c r="B142" s="6"/>
      <x:c r="C142" s="6"/>
      <x:c r="D142" s="6"/>
    </x:row>
    <x:row r="143" ht="17">
      <x:c r="A143" s="3" t="s">
        <x:v>735</x:v>
      </x:c>
      <x:c r="B143" s="3" t="s">
        <x:v>903</x:v>
      </x:c>
      <x:c r="C143" s="3" t="s">
        <x:v>904</x:v>
      </x:c>
      <x:c r="D143" s="3" t="s">
        <x:v>908</x:v>
      </x:c>
    </x:row>
    <x:row r="144" ht="17">
      <x:c r="A144" s="7" t="s">
        <x:v>737</x:v>
      </x:c>
      <x:c r="B144" s="9">
        <x:v>2</x:v>
      </x:c>
      <x:c r="C144" s="9">
        <x:v>0</x:v>
      </x:c>
      <x:c r="D144" s="9">
        <x:v>0</x:v>
      </x:c>
    </x:row>
    <x:row r="145" ht="17">
      <x:c r="A145" s="10" t="s">
        <x:v>738</x:v>
      </x:c>
      <x:c r="B145" s="11">
        <x:v>5</x:v>
      </x:c>
      <x:c r="C145" s="11">
        <x:v>0</x:v>
      </x:c>
      <x:c r="D145" s="11">
        <x:v>0</x:v>
      </x:c>
    </x:row>
    <x:row r="146" ht="17">
      <x:c r="A146" s="10" t="s">
        <x:v>739</x:v>
      </x:c>
      <x:c r="B146" s="11">
        <x:v>10</x:v>
      </x:c>
      <x:c r="C146" s="11">
        <x:v>0</x:v>
      </x:c>
      <x:c r="D146" s="11">
        <x:v>1</x:v>
      </x:c>
    </x:row>
    <x:row r="147" ht="17">
      <x:c r="A147" s="10" t="s">
        <x:v>740</x:v>
      </x:c>
      <x:c r="B147" s="11">
        <x:v>18</x:v>
      </x:c>
      <x:c r="C147" s="11">
        <x:v>1</x:v>
      </x:c>
      <x:c r="D147" s="11">
        <x:v>2</x:v>
      </x:c>
    </x:row>
    <x:row r="148" ht="17">
      <x:c r="A148" s="10" t="s">
        <x:v>741</x:v>
      </x:c>
      <x:c r="B148" s="11">
        <x:v>35</x:v>
      </x:c>
      <x:c r="C148" s="11">
        <x:v>3</x:v>
      </x:c>
      <x:c r="D148" s="11">
        <x:v>4</x:v>
      </x:c>
    </x:row>
  </x:sheetData>
  <x:mergeCells>
    <x:mergeCell ref="A1:I1"/>
    <x:mergeCell ref="A2:I2"/>
    <x:mergeCell ref="A4:E4"/>
    <x:mergeCell ref="A5:E5"/>
    <x:mergeCell ref="A13:H13"/>
    <x:mergeCell ref="A14:H14"/>
    <x:mergeCell ref="A33:E33"/>
    <x:mergeCell ref="A34:E34"/>
    <x:mergeCell ref="A43:C43"/>
    <x:mergeCell ref="A44:C44"/>
    <x:mergeCell ref="A60:F60"/>
    <x:mergeCell ref="A61:F61"/>
    <x:mergeCell ref="A70:C70"/>
    <x:mergeCell ref="A71:C71"/>
    <x:mergeCell ref="A80:C80"/>
    <x:mergeCell ref="A81:C81"/>
    <x:mergeCell ref="A111:B111"/>
    <x:mergeCell ref="A112:B112"/>
    <x:mergeCell ref="A122:G122"/>
    <x:mergeCell ref="A123:G123"/>
    <x:mergeCell ref="A131:D131"/>
    <x:mergeCell ref="A132:D132"/>
    <x:mergeCell ref="A141:D141"/>
    <x:mergeCell ref="A142:D142"/>
  </x:mergeCells>
  <x:pageMargins left="0.7" right="0.7" top="0.75" bottom="0.75" header="0.3" footer="0.3"/>
  <x:tableParts count="11">
    <x:tablePart xmlns:r="http://schemas.openxmlformats.org/officeDocument/2006/relationships" r:id="R1fc8c1c4acbc4f5b"/>
    <x:tablePart xmlns:r="http://schemas.openxmlformats.org/officeDocument/2006/relationships" r:id="Rb06605eae78647c9"/>
    <x:tablePart xmlns:r="http://schemas.openxmlformats.org/officeDocument/2006/relationships" r:id="R8617a29a23b7475f"/>
    <x:tablePart xmlns:r="http://schemas.openxmlformats.org/officeDocument/2006/relationships" r:id="Racab5a981c0b4362"/>
    <x:tablePart xmlns:r="http://schemas.openxmlformats.org/officeDocument/2006/relationships" r:id="R3e6391741adf4b11"/>
    <x:tablePart xmlns:r="http://schemas.openxmlformats.org/officeDocument/2006/relationships" r:id="Re43b3a3673be48e3"/>
    <x:tablePart xmlns:r="http://schemas.openxmlformats.org/officeDocument/2006/relationships" r:id="R9a67371dfc4a4529"/>
    <x:tablePart xmlns:r="http://schemas.openxmlformats.org/officeDocument/2006/relationships" r:id="R0c3dfaa8bf1d4af3"/>
    <x:tablePart xmlns:r="http://schemas.openxmlformats.org/officeDocument/2006/relationships" r:id="Rd3054b480a2748ef"/>
    <x:tablePart xmlns:r="http://schemas.openxmlformats.org/officeDocument/2006/relationships" r:id="R05255d40a78f43f2"/>
    <x:tablePart xmlns:r="http://schemas.openxmlformats.org/officeDocument/2006/relationships" r:id="R52ac5f78911e40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32" customWidth="1"/>
    <x:col min="2" max="2" width="20" customWidth="1"/>
    <x:col min="3" max="3" width="16" customWidth="1"/>
    <x:col min="4" max="4" width="26" customWidth="1"/>
    <x:col min="5" max="5" width="60" customWidth="1"/>
    <x:col min="6" max="6" width="28" customWidth="1"/>
    <x:col min="7" max="7" width="55" customWidth="1"/>
    <x:col min="8" max="8" width="30" customWidth="1"/>
  </x:cols>
  <x:sheetData>
    <x:row r="1" ht="30" customHeight="1">
      <x:c r="A1" s="1" t="s">
        <x:v>909</x:v>
      </x:c>
      <x:c r="B1" s="1"/>
      <x:c r="C1" s="1"/>
      <x:c r="D1" s="1"/>
      <x:c r="E1" s="1"/>
      <x:c r="F1" s="1"/>
      <x:c r="G1" s="1"/>
      <x:c r="H1" s="1"/>
    </x:row>
    <x:row r="2" ht="30" customHeight="1">
      <x:c r="A2" s="2" t="s">
        <x:v>910</x:v>
      </x:c>
      <x:c r="B2" s="2"/>
      <x:c r="C2" s="2"/>
      <x:c r="D2" s="2"/>
      <x:c r="E2" s="2"/>
      <x:c r="F2" s="2"/>
      <x:c r="G2" s="2"/>
      <x:c r="H2" s="2"/>
    </x:row>
    <x:row r="4" ht="22" customHeight="1">
      <x:c r="A4" s="5" t="s">
        <x:v>911</x:v>
      </x:c>
      <x:c r="B4" s="5"/>
      <x:c r="C4" s="5"/>
      <x:c r="D4" s="5"/>
      <x:c r="E4" s="5"/>
      <x:c r="F4" s="5"/>
    </x:row>
    <x:row r="5">
      <x:c r="A5" s="6" t="s">
        <x:v>912</x:v>
      </x:c>
      <x:c r="B5" s="6"/>
      <x:c r="C5" s="6"/>
      <x:c r="D5" s="6"/>
      <x:c r="E5" s="6"/>
      <x:c r="F5" s="6"/>
    </x:row>
    <x:row r="6" ht="17">
      <x:c r="A6" s="3" t="s">
        <x:v>913</x:v>
      </x:c>
      <x:c r="B6" s="3" t="s">
        <x:v>745</x:v>
      </x:c>
      <x:c r="C6" s="3" t="s">
        <x:v>914</x:v>
      </x:c>
      <x:c r="D6" s="3" t="s">
        <x:v>915</x:v>
      </x:c>
      <x:c r="E6" s="3" t="s">
        <x:v>916</x:v>
      </x:c>
      <x:c r="F6" s="3" t="s">
        <x:v>494</x:v>
      </x:c>
    </x:row>
    <x:row r="7" ht="34">
      <x:c r="A7" s="7" t="s">
        <x:v>917</x:v>
      </x:c>
      <x:c r="B7" s="7" t="s">
        <x:v>750</x:v>
      </x:c>
      <x:c r="C7" s="9">
        <x:v>10</x:v>
      </x:c>
      <x:c r="D7" s="7" t="s">
        <x:v>918</x:v>
      </x:c>
      <x:c r="E7" s="7" t="s">
        <x:v>919</x:v>
      </x:c>
      <x:c r="F7" s="7" t="s">
        <x:v>920</x:v>
      </x:c>
    </x:row>
    <x:row r="8" ht="17">
      <x:c r="A8" s="10" t="s">
        <x:v>921</x:v>
      </x:c>
      <x:c r="B8" s="10" t="s">
        <x:v>750</x:v>
      </x:c>
      <x:c r="C8" s="11">
        <x:v>10</x:v>
      </x:c>
      <x:c r="D8" s="10" t="s">
        <x:v>922</x:v>
      </x:c>
      <x:c r="E8" s="10" t="s">
        <x:v>923</x:v>
      </x:c>
      <x:c r="F8" s="10" t="s">
        <x:v>924</x:v>
      </x:c>
    </x:row>
    <x:row r="9" ht="17">
      <x:c r="A9" s="10" t="s">
        <x:v>925</x:v>
      </x:c>
      <x:c r="B9" s="10" t="s">
        <x:v>750</x:v>
      </x:c>
      <x:c r="C9" s="11">
        <x:v>14</x:v>
      </x:c>
      <x:c r="D9" s="10" t="s">
        <x:v>926</x:v>
      </x:c>
      <x:c r="E9" s="10" t="s">
        <x:v>923</x:v>
      </x:c>
      <x:c r="F9" s="10" t="s">
        <x:v>927</x:v>
      </x:c>
    </x:row>
    <x:row r="10" ht="34">
      <x:c r="A10" s="10" t="s">
        <x:v>928</x:v>
      </x:c>
      <x:c r="B10" s="10" t="s">
        <x:v>750</x:v>
      </x:c>
      <x:c r="C10" s="11">
        <x:v>14</x:v>
      </x:c>
      <x:c r="D10" s="10" t="s">
        <x:v>929</x:v>
      </x:c>
      <x:c r="E10" s="10" t="s">
        <x:v>923</x:v>
      </x:c>
      <x:c r="F10" s="10" t="s">
        <x:v>930</x:v>
      </x:c>
    </x:row>
    <x:row r="11" ht="34">
      <x:c r="A11" s="10" t="s">
        <x:v>931</x:v>
      </x:c>
      <x:c r="B11" s="10" t="s">
        <x:v>750</x:v>
      </x:c>
      <x:c r="C11" s="11">
        <x:v>14</x:v>
      </x:c>
      <x:c r="D11" s="10" t="s">
        <x:v>932</x:v>
      </x:c>
      <x:c r="E11" s="10" t="s">
        <x:v>933</x:v>
      </x:c>
      <x:c r="F11" s="10" t="s">
        <x:v>934</x:v>
      </x:c>
    </x:row>
    <x:row r="14" ht="22" customHeight="1">
      <x:c r="A14" s="5" t="s">
        <x:v>935</x:v>
      </x:c>
      <x:c r="B14" s="5"/>
      <x:c r="C14" s="5"/>
      <x:c r="D14" s="5"/>
      <x:c r="E14" s="5"/>
      <x:c r="F14" s="5"/>
    </x:row>
    <x:row r="15">
      <x:c r="A15" s="6" t="s">
        <x:v>936</x:v>
      </x:c>
      <x:c r="B15" s="6"/>
      <x:c r="C15" s="6"/>
      <x:c r="D15" s="6"/>
      <x:c r="E15" s="6"/>
      <x:c r="F15" s="6"/>
    </x:row>
    <x:row r="16" ht="17">
      <x:c r="A16" s="3" t="s">
        <x:v>913</x:v>
      </x:c>
      <x:c r="B16" s="3" t="s">
        <x:v>745</x:v>
      </x:c>
      <x:c r="C16" s="3" t="s">
        <x:v>914</x:v>
      </x:c>
      <x:c r="D16" s="3" t="s">
        <x:v>915</x:v>
      </x:c>
      <x:c r="E16" s="3" t="s">
        <x:v>916</x:v>
      </x:c>
      <x:c r="F16" s="3" t="s">
        <x:v>937</x:v>
      </x:c>
    </x:row>
    <x:row r="17" ht="34">
      <x:c r="A17" s="7" t="s">
        <x:v>938</x:v>
      </x:c>
      <x:c r="B17" s="7" t="s">
        <x:v>763</x:v>
      </x:c>
      <x:c r="C17" s="9">
        <x:v>28</x:v>
      </x:c>
      <x:c r="D17" s="7" t="s">
        <x:v>939</x:v>
      </x:c>
      <x:c r="E17" s="7" t="s">
        <x:v>919</x:v>
      </x:c>
      <x:c r="F17" s="7" t="s">
        <x:v>940</x:v>
      </x:c>
    </x:row>
    <x:row r="18" ht="34">
      <x:c r="A18" s="10" t="s">
        <x:v>941</x:v>
      </x:c>
      <x:c r="B18" s="10" t="s">
        <x:v>766</x:v>
      </x:c>
      <x:c r="C18" s="11">
        <x:v>28</x:v>
      </x:c>
      <x:c r="D18" s="10" t="s">
        <x:v>942</x:v>
      </x:c>
      <x:c r="E18" s="10" t="s">
        <x:v>923</x:v>
      </x:c>
      <x:c r="F18" s="10" t="s">
        <x:v>943</x:v>
      </x:c>
    </x:row>
    <x:row r="19" ht="17">
      <x:c r="A19" s="10" t="s">
        <x:v>944</x:v>
      </x:c>
      <x:c r="B19" s="10" t="s">
        <x:v>769</x:v>
      </x:c>
      <x:c r="C19" s="11">
        <x:v>28</x:v>
      </x:c>
      <x:c r="D19" s="10" t="s">
        <x:v>945</x:v>
      </x:c>
      <x:c r="E19" s="10" t="s">
        <x:v>933</x:v>
      </x:c>
      <x:c r="F19" s="10" t="s">
        <x:v>946</x:v>
      </x:c>
    </x:row>
    <x:row r="20" ht="34">
      <x:c r="A20" s="10" t="s">
        <x:v>947</x:v>
      </x:c>
      <x:c r="B20" s="10" t="s">
        <x:v>772</x:v>
      </x:c>
      <x:c r="C20" s="11">
        <x:v>28</x:v>
      </x:c>
      <x:c r="D20" s="10" t="s">
        <x:v>948</x:v>
      </x:c>
      <x:c r="E20" s="10" t="s">
        <x:v>949</x:v>
      </x:c>
      <x:c r="F20" s="10" t="s">
        <x:v>950</x:v>
      </x:c>
    </x:row>
    <x:row r="21" ht="34">
      <x:c r="A21" s="10" t="s">
        <x:v>951</x:v>
      </x:c>
      <x:c r="B21" s="10" t="s">
        <x:v>750</x:v>
      </x:c>
      <x:c r="C21" s="11">
        <x:v>18</x:v>
      </x:c>
      <x:c r="D21" s="10" t="s">
        <x:v>952</x:v>
      </x:c>
      <x:c r="E21" s="10" t="s">
        <x:v>933</x:v>
      </x:c>
      <x:c r="F21" s="10" t="s">
        <x:v>953</x:v>
      </x:c>
    </x:row>
    <x:row r="22" ht="17">
      <x:c r="A22" s="10" t="s">
        <x:v>954</x:v>
      </x:c>
      <x:c r="B22" s="10" t="s">
        <x:v>750</x:v>
      </x:c>
      <x:c r="C22" s="11">
        <x:v>18</x:v>
      </x:c>
      <x:c r="D22" s="10" t="s">
        <x:v>955</x:v>
      </x:c>
      <x:c r="E22" s="10" t="s">
        <x:v>956</x:v>
      </x:c>
      <x:c r="F22" s="10" t="s">
        <x:v>957</x:v>
      </x:c>
    </x:row>
    <x:row r="23" ht="17">
      <x:c r="A23" s="10" t="s">
        <x:v>958</x:v>
      </x:c>
      <x:c r="B23" s="10" t="s">
        <x:v>750</x:v>
      </x:c>
      <x:c r="C23" s="11">
        <x:v>18</x:v>
      </x:c>
      <x:c r="D23" s="10" t="s">
        <x:v>959</x:v>
      </x:c>
      <x:c r="E23" s="10" t="s">
        <x:v>923</x:v>
      </x:c>
      <x:c r="F23" s="10" t="s">
        <x:v>960</x:v>
      </x:c>
    </x:row>
    <x:row r="24" ht="34">
      <x:c r="A24" s="10" t="s">
        <x:v>961</x:v>
      </x:c>
      <x:c r="B24" s="10" t="s">
        <x:v>750</x:v>
      </x:c>
      <x:c r="C24" s="11">
        <x:v>18</x:v>
      </x:c>
      <x:c r="D24" s="10" t="s">
        <x:v>962</x:v>
      </x:c>
      <x:c r="E24" s="10" t="s">
        <x:v>923</x:v>
      </x:c>
      <x:c r="F24" s="10" t="s">
        <x:v>963</x:v>
      </x:c>
    </x:row>
    <x:row r="25" ht="17">
      <x:c r="A25" s="10" t="s">
        <x:v>964</x:v>
      </x:c>
      <x:c r="B25" s="10" t="s">
        <x:v>750</x:v>
      </x:c>
      <x:c r="C25" s="11">
        <x:v>18</x:v>
      </x:c>
      <x:c r="D25" s="10" t="s">
        <x:v>965</x:v>
      </x:c>
      <x:c r="E25" s="10" t="s">
        <x:v>933</x:v>
      </x:c>
      <x:c r="F25" s="10" t="s">
        <x:v>966</x:v>
      </x:c>
    </x:row>
    <x:row r="26" ht="34">
      <x:c r="A26" s="10" t="s">
        <x:v>967</x:v>
      </x:c>
      <x:c r="B26" s="10" t="s">
        <x:v>750</x:v>
      </x:c>
      <x:c r="C26" s="11">
        <x:v>22</x:v>
      </x:c>
      <x:c r="D26" s="10" t="s">
        <x:v>968</x:v>
      </x:c>
      <x:c r="E26" s="10" t="s">
        <x:v>923</x:v>
      </x:c>
      <x:c r="F26" s="10" t="s">
        <x:v>969</x:v>
      </x:c>
    </x:row>
    <x:row r="27" ht="34">
      <x:c r="A27" s="10" t="s">
        <x:v>970</x:v>
      </x:c>
      <x:c r="B27" s="10" t="s">
        <x:v>750</x:v>
      </x:c>
      <x:c r="C27" s="11">
        <x:v>22</x:v>
      </x:c>
      <x:c r="D27" s="10" t="s">
        <x:v>971</x:v>
      </x:c>
      <x:c r="E27" s="10" t="s">
        <x:v>933</x:v>
      </x:c>
      <x:c r="F27" s="10" t="s">
        <x:v>972</x:v>
      </x:c>
    </x:row>
    <x:row r="28" ht="34">
      <x:c r="A28" s="10" t="s">
        <x:v>973</x:v>
      </x:c>
      <x:c r="B28" s="10" t="s">
        <x:v>750</x:v>
      </x:c>
      <x:c r="C28" s="11">
        <x:v>22</x:v>
      </x:c>
      <x:c r="D28" s="10" t="s">
        <x:v>974</x:v>
      </x:c>
      <x:c r="E28" s="10" t="s">
        <x:v>933</x:v>
      </x:c>
      <x:c r="F28" s="10" t="s">
        <x:v>975</x:v>
      </x:c>
    </x:row>
    <x:row r="29" ht="34">
      <x:c r="A29" s="10" t="s">
        <x:v>976</x:v>
      </x:c>
      <x:c r="B29" s="10" t="s">
        <x:v>750</x:v>
      </x:c>
      <x:c r="C29" s="11">
        <x:v>22</x:v>
      </x:c>
      <x:c r="D29" s="10" t="s">
        <x:v>977</x:v>
      </x:c>
      <x:c r="E29" s="10" t="s">
        <x:v>919</x:v>
      </x:c>
      <x:c r="F29" s="10" t="s">
        <x:v>978</x:v>
      </x:c>
    </x:row>
    <x:row r="30" ht="34">
      <x:c r="A30" s="10" t="s">
        <x:v>979</x:v>
      </x:c>
      <x:c r="B30" s="10" t="s">
        <x:v>750</x:v>
      </x:c>
      <x:c r="C30" s="11">
        <x:v>22</x:v>
      </x:c>
      <x:c r="D30" s="10" t="s">
        <x:v>980</x:v>
      </x:c>
      <x:c r="E30" s="10" t="s">
        <x:v>933</x:v>
      </x:c>
      <x:c r="F30" s="10" t="s">
        <x:v>981</x:v>
      </x:c>
    </x:row>
    <x:row r="33" ht="22" customHeight="1">
      <x:c r="A33" s="5" t="s">
        <x:v>982</x:v>
      </x:c>
      <x:c r="B33" s="5"/>
      <x:c r="C33" s="5"/>
      <x:c r="D33" s="5"/>
      <x:c r="E33" s="5"/>
      <x:c r="F33" s="5"/>
      <x:c r="G33" s="5"/>
    </x:row>
    <x:row r="34">
      <x:c r="A34" s="6" t="s">
        <x:v>983</x:v>
      </x:c>
      <x:c r="B34" s="6"/>
      <x:c r="C34" s="6"/>
      <x:c r="D34" s="6"/>
      <x:c r="E34" s="6"/>
      <x:c r="F34" s="6"/>
      <x:c r="G34" s="6"/>
    </x:row>
    <x:row r="35" ht="17">
      <x:c r="A35" s="3" t="s">
        <x:v>913</x:v>
      </x:c>
      <x:c r="B35" s="3" t="s">
        <x:v>984</x:v>
      </x:c>
      <x:c r="C35" s="3" t="s">
        <x:v>735</x:v>
      </x:c>
      <x:c r="D35" s="3" t="s">
        <x:v>914</x:v>
      </x:c>
      <x:c r="E35" s="3" t="s">
        <x:v>985</x:v>
      </x:c>
      <x:c r="F35" s="3" t="s">
        <x:v>915</x:v>
      </x:c>
      <x:c r="G35" s="3" t="s">
        <x:v>986</x:v>
      </x:c>
    </x:row>
    <x:row r="36" ht="34">
      <x:c r="A36" s="7" t="s">
        <x:v>987</x:v>
      </x:c>
      <x:c r="B36" s="7" t="s">
        <x:v>988</x:v>
      </x:c>
      <x:c r="C36" s="7" t="s">
        <x:v>739</x:v>
      </x:c>
      <x:c r="D36" s="9">
        <x:v>18</x:v>
      </x:c>
      <x:c r="E36" s="7" t="s">
        <x:v>989</x:v>
      </x:c>
      <x:c r="F36" s="7" t="s">
        <x:v>990</x:v>
      </x:c>
      <x:c r="G36" s="7" t="s">
        <x:v>991</x:v>
      </x:c>
    </x:row>
    <x:row r="37" ht="34">
      <x:c r="A37" s="10" t="s">
        <x:v>992</x:v>
      </x:c>
      <x:c r="B37" s="10" t="s">
        <x:v>993</x:v>
      </x:c>
      <x:c r="C37" s="10" t="s">
        <x:v>740</x:v>
      </x:c>
      <x:c r="D37" s="11">
        <x:v>28</x:v>
      </x:c>
      <x:c r="E37" s="10" t="s">
        <x:v>994</x:v>
      </x:c>
      <x:c r="F37" s="10" t="s">
        <x:v>995</x:v>
      </x:c>
      <x:c r="G37" s="10" t="s">
        <x:v>996</x:v>
      </x:c>
    </x:row>
    <x:row r="40" ht="22" customHeight="1">
      <x:c r="A40" s="5" t="s">
        <x:v>997</x:v>
      </x:c>
      <x:c r="B40" s="5"/>
      <x:c r="C40" s="5"/>
      <x:c r="D40" s="5"/>
      <x:c r="E40" s="5"/>
      <x:c r="F40" s="5"/>
    </x:row>
    <x:row r="41">
      <x:c r="A41" s="6" t="s">
        <x:v>998</x:v>
      </x:c>
      <x:c r="B41" s="6"/>
      <x:c r="C41" s="6"/>
      <x:c r="D41" s="6"/>
      <x:c r="E41" s="6"/>
      <x:c r="F41" s="6"/>
    </x:row>
    <x:row r="42" ht="34">
      <x:c r="A42" s="3" t="s">
        <x:v>913</x:v>
      </x:c>
      <x:c r="B42" s="3" t="s">
        <x:v>745</x:v>
      </x:c>
      <x:c r="C42" s="3" t="s">
        <x:v>915</x:v>
      </x:c>
      <x:c r="D42" s="3" t="s">
        <x:v>999</x:v>
      </x:c>
      <x:c r="E42" s="3" t="s">
        <x:v>275</x:v>
      </x:c>
      <x:c r="F42" s="3" t="s">
        <x:v>1000</x:v>
      </x:c>
    </x:row>
    <x:row r="43" ht="51">
      <x:c r="A43" s="7" t="s">
        <x:v>1001</x:v>
      </x:c>
      <x:c r="B43" s="7" t="s">
        <x:v>763</x:v>
      </x:c>
      <x:c r="C43" s="7" t="s">
        <x:v>1002</x:v>
      </x:c>
      <x:c r="D43" s="7" t="s">
        <x:v>1003</x:v>
      </x:c>
      <x:c r="E43" s="9">
        <x:v>120</x:v>
      </x:c>
      <x:c r="F43" s="7" t="s">
        <x:v>1004</x:v>
      </x:c>
    </x:row>
    <x:row r="44" ht="51">
      <x:c r="A44" s="10" t="s">
        <x:v>1005</x:v>
      </x:c>
      <x:c r="B44" s="10" t="s">
        <x:v>766</x:v>
      </x:c>
      <x:c r="C44" s="10" t="s">
        <x:v>1006</x:v>
      </x:c>
      <x:c r="D44" s="10" t="s">
        <x:v>1007</x:v>
      </x:c>
      <x:c r="E44" s="11">
        <x:v>120</x:v>
      </x:c>
      <x:c r="F44" s="10" t="s">
        <x:v>1008</x:v>
      </x:c>
    </x:row>
    <x:row r="45" ht="84">
      <x:c r="A45" s="10" t="s">
        <x:v>1009</x:v>
      </x:c>
      <x:c r="B45" s="10" t="s">
        <x:v>769</x:v>
      </x:c>
      <x:c r="C45" s="10" t="s">
        <x:v>1010</x:v>
      </x:c>
      <x:c r="D45" s="10" t="s">
        <x:v>1011</x:v>
      </x:c>
      <x:c r="E45" s="11">
        <x:v>120</x:v>
      </x:c>
      <x:c r="F45" s="10" t="s">
        <x:v>1012</x:v>
      </x:c>
    </x:row>
    <x:row r="46" ht="51">
      <x:c r="A46" s="10" t="s">
        <x:v>1013</x:v>
      </x:c>
      <x:c r="B46" s="10" t="s">
        <x:v>772</x:v>
      </x:c>
      <x:c r="C46" s="10" t="s">
        <x:v>1014</x:v>
      </x:c>
      <x:c r="D46" s="10" t="s">
        <x:v>1015</x:v>
      </x:c>
      <x:c r="E46" s="11">
        <x:v>120</x:v>
      </x:c>
      <x:c r="F46" s="10" t="s">
        <x:v>1016</x:v>
      </x:c>
    </x:row>
    <x:row r="47" ht="34">
      <x:c r="A47" s="10" t="s">
        <x:v>1017</x:v>
      </x:c>
      <x:c r="B47" s="10" t="s">
        <x:v>775</x:v>
      </x:c>
      <x:c r="C47" s="10" t="s">
        <x:v>1018</x:v>
      </x:c>
      <x:c r="D47" s="10" t="s">
        <x:v>1019</x:v>
      </x:c>
      <x:c r="E47" s="11">
        <x:v>130</x:v>
      </x:c>
      <x:c r="F47" s="10" t="s">
        <x:v>1020</x:v>
      </x:c>
    </x:row>
    <x:row r="48" ht="34">
      <x:c r="A48" s="10" t="s">
        <x:v>1021</x:v>
      </x:c>
      <x:c r="B48" s="10" t="s">
        <x:v>778</x:v>
      </x:c>
      <x:c r="C48" s="10" t="s">
        <x:v>1022</x:v>
      </x:c>
      <x:c r="D48" s="10" t="s">
        <x:v>1023</x:v>
      </x:c>
      <x:c r="E48" s="11">
        <x:v>130</x:v>
      </x:c>
      <x:c r="F48" s="10" t="s">
        <x:v>1024</x:v>
      </x:c>
    </x:row>
    <x:row r="49" ht="34">
      <x:c r="A49" s="10" t="s">
        <x:v>1025</x:v>
      </x:c>
      <x:c r="B49" s="10" t="s">
        <x:v>750</x:v>
      </x:c>
      <x:c r="C49" s="10" t="s">
        <x:v>1026</x:v>
      </x:c>
      <x:c r="D49" s="10" t="s">
        <x:v>1027</x:v>
      </x:c>
      <x:c r="E49" s="11">
        <x:v>120</x:v>
      </x:c>
      <x:c r="F49" s="10" t="s">
        <x:v>1028</x:v>
      </x:c>
    </x:row>
  </x:sheetData>
  <x:mergeCells>
    <x:mergeCell ref="A1:H1"/>
    <x:mergeCell ref="A2:H2"/>
    <x:mergeCell ref="A4:F4"/>
    <x:mergeCell ref="A5:F5"/>
    <x:mergeCell ref="A14:F14"/>
    <x:mergeCell ref="A15:F15"/>
    <x:mergeCell ref="A33:G33"/>
    <x:mergeCell ref="A34:G34"/>
    <x:mergeCell ref="A40:F40"/>
    <x:mergeCell ref="A41:F41"/>
  </x:mergeCells>
  <x:pageMargins left="0.7" right="0.7" top="0.75" bottom="0.75" header="0.3" footer="0.3"/>
  <x:tableParts count="4">
    <x:tablePart xmlns:r="http://schemas.openxmlformats.org/officeDocument/2006/relationships" r:id="Rdaa1d0909a974ffb"/>
    <x:tablePart xmlns:r="http://schemas.openxmlformats.org/officeDocument/2006/relationships" r:id="Rbf56510a47f94fa6"/>
    <x:tablePart xmlns:r="http://schemas.openxmlformats.org/officeDocument/2006/relationships" r:id="R4e836e7b7a5341e3"/>
    <x:tablePart xmlns:r="http://schemas.openxmlformats.org/officeDocument/2006/relationships" r:id="R8e33a68060484c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9" customWidth="1"/>
    <x:col min="2" max="2" width="10" customWidth="1"/>
    <x:col min="3" max="3" width="25" customWidth="1"/>
    <x:col min="4" max="4" width="18" customWidth="1"/>
    <x:col min="5" max="5" width="8" customWidth="1"/>
    <x:col min="6" max="6" width="12" customWidth="1"/>
    <x:col min="7" max="13" width="9" customWidth="1"/>
    <x:col min="14" max="16" width="12" customWidth="1"/>
    <x:col min="17" max="17" width="55" customWidth="1"/>
    <x:col min="18" max="18" width="36" customWidth="1"/>
    <x:col min="19" max="19" width="38" customWidth="1"/>
    <x:col min="20" max="20" width="22" customWidth="1"/>
  </x:cols>
  <x:sheetData>
    <x:row r="1" ht="30" customHeight="1">
      <x:c r="A1" s="1" t="s">
        <x:v>1029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30" customHeight="1">
      <x:c r="A2" s="2" t="s">
        <x:v>1030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 ht="17">
      <x:c r="A4" s="3" t="s">
        <x:v>502</x:v>
      </x:c>
      <x:c r="B4" s="3" t="s">
        <x:v>1031</x:v>
      </x:c>
      <x:c r="C4" s="3" t="s">
        <x:v>207</x:v>
      </x:c>
      <x:c r="D4" s="3" t="s">
        <x:v>1032</x:v>
      </x:c>
      <x:c r="E4" s="3" t="s">
        <x:v>1033</x:v>
      </x:c>
      <x:c r="F4" s="3" t="s">
        <x:v>363</x:v>
      </x:c>
      <x:c r="G4" s="3" t="s">
        <x:v>238</x:v>
      </x:c>
      <x:c r="H4" s="3" t="s">
        <x:v>239</x:v>
      </x:c>
      <x:c r="I4" s="3" t="s">
        <x:v>240</x:v>
      </x:c>
      <x:c r="J4" s="3" t="s">
        <x:v>241</x:v>
      </x:c>
      <x:c r="K4" s="3" t="s">
        <x:v>242</x:v>
      </x:c>
      <x:c r="L4" s="3" t="s">
        <x:v>243</x:v>
      </x:c>
      <x:c r="M4" s="3" t="s">
        <x:v>244</x:v>
      </x:c>
      <x:c r="N4" s="3" t="s">
        <x:v>1034</x:v>
      </x:c>
      <x:c r="O4" s="3" t="s">
        <x:v>1035</x:v>
      </x:c>
      <x:c r="P4" s="3" t="s">
        <x:v>1036</x:v>
      </x:c>
      <x:c r="Q4" s="3" t="s">
        <x:v>1037</x:v>
      </x:c>
      <x:c r="R4" s="3" t="s">
        <x:v>1038</x:v>
      </x:c>
      <x:c r="S4" s="3" t="s">
        <x:v>79</x:v>
      </x:c>
      <x:c r="T4" s="3" t="s">
        <x:v>1039</x:v>
      </x:c>
    </x:row>
    <x:row r="5" ht="17">
      <x:c r="A5" s="20">
        <x:v>1</x:v>
      </x:c>
      <x:c r="B5" s="20" t="s">
        <x:v>1040</x:v>
      </x:c>
      <x:c r="C5" s="20" t="s">
        <x:v>1041</x:v>
      </x:c>
      <x:c r="D5" s="20" t="s">
        <x:v>1042</x:v>
      </x:c>
      <x:c r="E5" s="20">
        <x:v>2</x:v>
      </x:c>
      <x:c r="F5" s="20">
        <x:v>420</x:v>
      </x:c>
      <x:c r="G5" s="20">
        <x:v>12</x:v>
      </x:c>
      <x:c r="H5" s="20">
        <x:v>2</x:v>
      </x:c>
      <x:c r="I5" s="20">
        <x:v>10</x:v>
      </x:c>
      <x:c r="J5" s="20">
        <x:v>18</x:v>
      </x:c>
      <x:c r="K5" s="20">
        <x:v>8</x:v>
      </x:c>
      <x:c r="L5" s="20">
        <x:v>5</x:v>
      </x:c>
      <x:c r="M5" s="20">
        <x:v>6</x:v>
      </x:c>
      <x:c r="N5" s="21" t="n">
        <x:f t="shared" ref="N5:N38" si="0">SUM(G5:M5)</x:f>
        <x:v>61</x:v>
      </x:c>
      <x:c r="O5" s="20">
        <x:v>12</x:v>
      </x:c>
      <x:c r="P5" s="20">
        <x:v>6</x:v>
      </x:c>
      <x:c r="Q5" s="19" t="s">
        <x:v>1043</x:v>
      </x:c>
      <x:c r="R5" s="19" t="s">
        <x:v>1044</x:v>
      </x:c>
      <x:c r="S5" s="19" t="s">
        <x:v>1045</x:v>
      </x:c>
      <x:c r="T5" s="19" t="s">
        <x:v>538</x:v>
      </x:c>
    </x:row>
    <x:row r="6" ht="17">
      <x:c r="A6" s="20">
        <x:v>1</x:v>
      </x:c>
      <x:c r="B6" s="20" t="s">
        <x:v>1040</x:v>
      </x:c>
      <x:c r="C6" s="20" t="s">
        <x:v>1046</x:v>
      </x:c>
      <x:c r="D6" s="20" t="s">
        <x:v>1047</x:v>
      </x:c>
      <x:c r="E6" s="20">
        <x:v>3</x:v>
      </x:c>
      <x:c r="F6" s="20">
        <x:v>650</x:v>
      </x:c>
      <x:c r="G6" s="20">
        <x:v>16</x:v>
      </x:c>
      <x:c r="H6" s="20">
        <x:v>6</x:v>
      </x:c>
      <x:c r="I6" s="20">
        <x:v>8</x:v>
      </x:c>
      <x:c r="J6" s="20">
        <x:v>8</x:v>
      </x:c>
      <x:c r="K6" s="20">
        <x:v>16</x:v>
      </x:c>
      <x:c r="L6" s="20">
        <x:v>15</x:v>
      </x:c>
      <x:c r="M6" s="20">
        <x:v>9</x:v>
      </x:c>
      <x:c r="N6" s="21">
        <x:f t="shared" si="0"/>
        <x:v>78</x:v>
      </x:c>
      <x:c r="O6" s="20">
        <x:v>14</x:v>
      </x:c>
      <x:c r="P6" s="20">
        <x:v>7</x:v>
      </x:c>
      <x:c r="Q6" s="19" t="s">
        <x:v>1048</x:v>
      </x:c>
      <x:c r="R6" s="19" t="s">
        <x:v>1049</x:v>
      </x:c>
      <x:c r="S6" s="19" t="s">
        <x:v>1045</x:v>
      </x:c>
      <x:c r="T6" s="19" t="s">
        <x:v>538</x:v>
      </x:c>
    </x:row>
    <x:row r="7" ht="17">
      <x:c r="A7" s="20">
        <x:v>1</x:v>
      </x:c>
      <x:c r="B7" s="20" t="s">
        <x:v>1040</x:v>
      </x:c>
      <x:c r="C7" s="20" t="s">
        <x:v>1050</x:v>
      </x:c>
      <x:c r="D7" s="20" t="s">
        <x:v>1051</x:v>
      </x:c>
      <x:c r="E7" s="20">
        <x:v>4</x:v>
      </x:c>
      <x:c r="F7" s="20">
        <x:v>780</x:v>
      </x:c>
      <x:c r="G7" s="20">
        <x:v>20</x:v>
      </x:c>
      <x:c r="H7" s="20">
        <x:v>3</x:v>
      </x:c>
      <x:c r="I7" s="20">
        <x:v>8</x:v>
      </x:c>
      <x:c r="J7" s="20">
        <x:v>9</x:v>
      </x:c>
      <x:c r="K7" s="20">
        <x:v>20</x:v>
      </x:c>
      <x:c r="L7" s="20">
        <x:v>18</x:v>
      </x:c>
      <x:c r="M7" s="20">
        <x:v>7</x:v>
      </x:c>
      <x:c r="N7" s="21">
        <x:f t="shared" si="0"/>
        <x:v>85</x:v>
      </x:c>
      <x:c r="O7" s="20">
        <x:v>16</x:v>
      </x:c>
      <x:c r="P7" s="20">
        <x:v>8</x:v>
      </x:c>
      <x:c r="Q7" s="19" t="s">
        <x:v>1052</x:v>
      </x:c>
      <x:c r="R7" s="19" t="s">
        <x:v>1053</x:v>
      </x:c>
      <x:c r="S7" s="19" t="s">
        <x:v>1045</x:v>
      </x:c>
      <x:c r="T7" s="19" t="s">
        <x:v>538</x:v>
      </x:c>
    </x:row>
    <x:row r="8" ht="17">
      <x:c r="A8" s="20">
        <x:v>1</x:v>
      </x:c>
      <x:c r="B8" s="20" t="s">
        <x:v>1040</x:v>
      </x:c>
      <x:c r="C8" s="20" t="s">
        <x:v>1054</x:v>
      </x:c>
      <x:c r="D8" s="20" t="s">
        <x:v>1055</x:v>
      </x:c>
      <x:c r="E8" s="20">
        <x:v>5</x:v>
      </x:c>
      <x:c r="F8" s="20">
        <x:v>620</x:v>
      </x:c>
      <x:c r="G8" s="20">
        <x:v>5</x:v>
      </x:c>
      <x:c r="H8" s="20">
        <x:v>22</x:v>
      </x:c>
      <x:c r="I8" s="20">
        <x:v>14</x:v>
      </x:c>
      <x:c r="J8" s="20">
        <x:v>14</x:v>
      </x:c>
      <x:c r="K8" s="20">
        <x:v>10</x:v>
      </x:c>
      <x:c r="L8" s="20">
        <x:v>7</x:v>
      </x:c>
      <x:c r="M8" s="20">
        <x:v>19</x:v>
      </x:c>
      <x:c r="N8" s="21">
        <x:f t="shared" si="0"/>
        <x:v>91</x:v>
      </x:c>
      <x:c r="O8" s="20">
        <x:v>17</x:v>
      </x:c>
      <x:c r="P8" s="20">
        <x:v>8</x:v>
      </x:c>
      <x:c r="Q8" s="19" t="s">
        <x:v>1056</x:v>
      </x:c>
      <x:c r="R8" s="19" t="s">
        <x:v>1057</x:v>
      </x:c>
      <x:c r="S8" s="19" t="s">
        <x:v>1045</x:v>
      </x:c>
      <x:c r="T8" s="19" t="s">
        <x:v>538</x:v>
      </x:c>
    </x:row>
    <x:row r="9" ht="17">
      <x:c r="A9" s="20">
        <x:v>1</x:v>
      </x:c>
      <x:c r="B9" s="20" t="s">
        <x:v>1040</x:v>
      </x:c>
      <x:c r="C9" s="20" t="s">
        <x:v>1058</x:v>
      </x:c>
      <x:c r="D9" s="20" t="s">
        <x:v>1059</x:v>
      </x:c>
      <x:c r="E9" s="20">
        <x:v>6</x:v>
      </x:c>
      <x:c r="F9" s="20">
        <x:v>1200</x:v>
      </x:c>
      <x:c r="G9" s="20">
        <x:v>27</x:v>
      </x:c>
      <x:c r="H9" s="20">
        <x:v>3</x:v>
      </x:c>
      <x:c r="I9" s="20">
        <x:v>9</x:v>
      </x:c>
      <x:c r="J9" s="20">
        <x:v>7</x:v>
      </x:c>
      <x:c r="K9" s="20">
        <x:v>30</x:v>
      </x:c>
      <x:c r="L9" s="20">
        <x:v>28</x:v>
      </x:c>
      <x:c r="M9" s="20">
        <x:v>12</x:v>
      </x:c>
      <x:c r="N9" s="21">
        <x:f t="shared" si="0"/>
        <x:v>116</x:v>
      </x:c>
      <x:c r="O9" s="20">
        <x:v>18</x:v>
      </x:c>
      <x:c r="P9" s="20">
        <x:v>9</x:v>
      </x:c>
      <x:c r="Q9" s="19" t="s">
        <x:v>1060</x:v>
      </x:c>
      <x:c r="R9" s="19" t="s">
        <x:v>1061</x:v>
      </x:c>
      <x:c r="S9" s="19" t="s">
        <x:v>1045</x:v>
      </x:c>
      <x:c r="T9" s="19" t="s">
        <x:v>538</x:v>
      </x:c>
    </x:row>
    <x:row r="10" ht="34">
      <x:c r="A10" s="20">
        <x:v>1</x:v>
      </x:c>
      <x:c r="B10" s="20" t="s">
        <x:v>1062</x:v>
      </x:c>
      <x:c r="C10" s="20" t="s">
        <x:v>1063</x:v>
      </x:c>
      <x:c r="D10" s="20" t="s">
        <x:v>1064</x:v>
      </x:c>
      <x:c r="E10" s="20">
        <x:v>6</x:v>
      </x:c>
      <x:c r="F10" s="20">
        <x:v>2600</x:v>
      </x:c>
      <x:c r="G10" s="20">
        <x:v>32</x:v>
      </x:c>
      <x:c r="H10" s="20">
        <x:v>4</x:v>
      </x:c>
      <x:c r="I10" s="20">
        <x:v>12</x:v>
      </x:c>
      <x:c r="J10" s="20">
        <x:v>8</x:v>
      </x:c>
      <x:c r="K10" s="20">
        <x:v>42</x:v>
      </x:c>
      <x:c r="L10" s="20">
        <x:v>36</x:v>
      </x:c>
      <x:c r="M10" s="20">
        <x:v>15</x:v>
      </x:c>
      <x:c r="N10" s="21">
        <x:f t="shared" si="0"/>
        <x:v>149</x:v>
      </x:c>
      <x:c r="O10" s="20">
        <x:v>60</x:v>
      </x:c>
      <x:c r="P10" s="20">
        <x:v>30</x:v>
      </x:c>
      <x:c r="Q10" s="19" t="s">
        <x:v>1065</x:v>
      </x:c>
      <x:c r="R10" s="19" t="s">
        <x:v>1066</x:v>
      </x:c>
      <x:c r="S10" s="19" t="s">
        <x:v>1067</x:v>
      </x:c>
      <x:c r="T10" s="19" t="s">
        <x:v>538</x:v>
      </x:c>
    </x:row>
    <x:row r="11" ht="34">
      <x:c r="A11" s="20">
        <x:v>1</x:v>
      </x:c>
      <x:c r="B11" s="20" t="s">
        <x:v>1062</x:v>
      </x:c>
      <x:c r="C11" s="20" t="s">
        <x:v>1068</x:v>
      </x:c>
      <x:c r="D11" s="20" t="s">
        <x:v>1069</x:v>
      </x:c>
      <x:c r="E11" s="20">
        <x:v>7</x:v>
      </x:c>
      <x:c r="F11" s="20">
        <x:v>2300</x:v>
      </x:c>
      <x:c r="G11" s="20">
        <x:v>27</x:v>
      </x:c>
      <x:c r="H11" s="20">
        <x:v>18</x:v>
      </x:c>
      <x:c r="I11" s="20">
        <x:v>18</x:v>
      </x:c>
      <x:c r="J11" s="20">
        <x:v>12</x:v>
      </x:c>
      <x:c r="K11" s="20">
        <x:v>35</x:v>
      </x:c>
      <x:c r="L11" s="20">
        <x:v>24</x:v>
      </x:c>
      <x:c r="M11" s="20">
        <x:v>22</x:v>
      </x:c>
      <x:c r="N11" s="21">
        <x:f t="shared" si="0"/>
        <x:v>156</x:v>
      </x:c>
      <x:c r="O11" s="20">
        <x:v>55</x:v>
      </x:c>
      <x:c r="P11" s="20">
        <x:v>28</x:v>
      </x:c>
      <x:c r="Q11" s="19" t="s">
        <x:v>1070</x:v>
      </x:c>
      <x:c r="R11" s="19" t="s">
        <x:v>1071</x:v>
      </x:c>
      <x:c r="S11" s="19" t="s">
        <x:v>1067</x:v>
      </x:c>
      <x:c r="T11" s="19" t="s">
        <x:v>538</x:v>
      </x:c>
    </x:row>
    <x:row r="12" ht="17">
      <x:c r="A12" s="20">
        <x:v>2</x:v>
      </x:c>
      <x:c r="B12" s="20" t="s">
        <x:v>1040</x:v>
      </x:c>
      <x:c r="C12" s="20" t="s">
        <x:v>1072</x:v>
      </x:c>
      <x:c r="D12" s="20" t="s">
        <x:v>1073</x:v>
      </x:c>
      <x:c r="E12" s="20">
        <x:v>9</x:v>
      </x:c>
      <x:c r="F12" s="20">
        <x:v>1300</x:v>
      </x:c>
      <x:c r="G12" s="20">
        <x:v>36</x:v>
      </x:c>
      <x:c r="H12" s="20">
        <x:v>5</x:v>
      </x:c>
      <x:c r="I12" s="20">
        <x:v>16</x:v>
      </x:c>
      <x:c r="J12" s="20">
        <x:v>14</x:v>
      </x:c>
      <x:c r="K12" s="20">
        <x:v>38</x:v>
      </x:c>
      <x:c r="L12" s="20">
        <x:v>32</x:v>
      </x:c>
      <x:c r="M12" s="20">
        <x:v>15</x:v>
      </x:c>
      <x:c r="N12" s="21">
        <x:f t="shared" si="0"/>
        <x:v>156</x:v>
      </x:c>
      <x:c r="O12" s="20">
        <x:v>25</x:v>
      </x:c>
      <x:c r="P12" s="20">
        <x:v>11</x:v>
      </x:c>
      <x:c r="Q12" s="19" t="s">
        <x:v>1074</x:v>
      </x:c>
      <x:c r="R12" s="19" t="s">
        <x:v>1075</x:v>
      </x:c>
      <x:c r="S12" s="19" t="s">
        <x:v>1076</x:v>
      </x:c>
      <x:c r="T12" s="19" t="s">
        <x:v>538</x:v>
      </x:c>
    </x:row>
    <x:row r="13" ht="17">
      <x:c r="A13" s="20">
        <x:v>2</x:v>
      </x:c>
      <x:c r="B13" s="20" t="s">
        <x:v>1040</x:v>
      </x:c>
      <x:c r="C13" s="20" t="s">
        <x:v>1077</x:v>
      </x:c>
      <x:c r="D13" s="20" t="s">
        <x:v>1078</x:v>
      </x:c>
      <x:c r="E13" s="20">
        <x:v>9</x:v>
      </x:c>
      <x:c r="F13" s="20">
        <x:v>1100</x:v>
      </x:c>
      <x:c r="G13" s="20">
        <x:v>12</x:v>
      </x:c>
      <x:c r="H13" s="20">
        <x:v>30</x:v>
      </x:c>
      <x:c r="I13" s="20">
        <x:v>24</x:v>
      </x:c>
      <x:c r="J13" s="20">
        <x:v>9</x:v>
      </x:c>
      <x:c r="K13" s="20">
        <x:v>30</x:v>
      </x:c>
      <x:c r="L13" s="20">
        <x:v>16</x:v>
      </x:c>
      <x:c r="M13" s="20">
        <x:v>30</x:v>
      </x:c>
      <x:c r="N13" s="21">
        <x:f t="shared" si="0"/>
        <x:v>151</x:v>
      </x:c>
      <x:c r="O13" s="20">
        <x:v>27</x:v>
      </x:c>
      <x:c r="P13" s="20">
        <x:v>12</x:v>
      </x:c>
      <x:c r="Q13" s="19" t="s">
        <x:v>1079</x:v>
      </x:c>
      <x:c r="R13" s="19" t="s">
        <x:v>1080</x:v>
      </x:c>
      <x:c r="S13" s="19" t="s">
        <x:v>1076</x:v>
      </x:c>
      <x:c r="T13" s="19" t="s">
        <x:v>538</x:v>
      </x:c>
    </x:row>
    <x:row r="14" ht="17">
      <x:c r="A14" s="20">
        <x:v>2</x:v>
      </x:c>
      <x:c r="B14" s="20" t="s">
        <x:v>1040</x:v>
      </x:c>
      <x:c r="C14" s="20" t="s">
        <x:v>1081</x:v>
      </x:c>
      <x:c r="D14" s="20" t="s">
        <x:v>1082</x:v>
      </x:c>
      <x:c r="E14" s="20">
        <x:v>10</x:v>
      </x:c>
      <x:c r="F14" s="20">
        <x:v>1400</x:v>
      </x:c>
      <x:c r="G14" s="20">
        <x:v>18</x:v>
      </x:c>
      <x:c r="H14" s="20">
        <x:v>34</x:v>
      </x:c>
      <x:c r="I14" s="20">
        <x:v>28</x:v>
      </x:c>
      <x:c r="J14" s="20">
        <x:v>18</x:v>
      </x:c>
      <x:c r="K14" s="20">
        <x:v>32</x:v>
      </x:c>
      <x:c r="L14" s="20">
        <x:v>18</x:v>
      </x:c>
      <x:c r="M14" s="20">
        <x:v>34</x:v>
      </x:c>
      <x:c r="N14" s="21">
        <x:f t="shared" si="0"/>
        <x:v>182</x:v>
      </x:c>
      <x:c r="O14" s="20">
        <x:v>30</x:v>
      </x:c>
      <x:c r="P14" s="20">
        <x:v>14</x:v>
      </x:c>
      <x:c r="Q14" s="19" t="s">
        <x:v>1083</x:v>
      </x:c>
      <x:c r="R14" s="19" t="s">
        <x:v>1084</x:v>
      </x:c>
      <x:c r="S14" s="19" t="s">
        <x:v>1076</x:v>
      </x:c>
      <x:c r="T14" s="19" t="s">
        <x:v>538</x:v>
      </x:c>
    </x:row>
    <x:row r="15" ht="17">
      <x:c r="A15" s="20">
        <x:v>2</x:v>
      </x:c>
      <x:c r="B15" s="20" t="s">
        <x:v>1040</x:v>
      </x:c>
      <x:c r="C15" s="20" t="s">
        <x:v>1085</x:v>
      </x:c>
      <x:c r="D15" s="20" t="s">
        <x:v>1086</x:v>
      </x:c>
      <x:c r="E15" s="20">
        <x:v>11</x:v>
      </x:c>
      <x:c r="F15" s="20">
        <x:v>1150</x:v>
      </x:c>
      <x:c r="G15" s="20">
        <x:v>15</x:v>
      </x:c>
      <x:c r="H15" s="20">
        <x:v>38</x:v>
      </x:c>
      <x:c r="I15" s="20">
        <x:v>32</x:v>
      </x:c>
      <x:c r="J15" s="20">
        <x:v>32</x:v>
      </x:c>
      <x:c r="K15" s="20">
        <x:v>22</x:v>
      </x:c>
      <x:c r="L15" s="20">
        <x:v>15</x:v>
      </x:c>
      <x:c r="M15" s="20">
        <x:v>35</x:v>
      </x:c>
      <x:c r="N15" s="21">
        <x:f t="shared" si="0"/>
        <x:v>189</x:v>
      </x:c>
      <x:c r="O15" s="20">
        <x:v>32</x:v>
      </x:c>
      <x:c r="P15" s="20">
        <x:v>14</x:v>
      </x:c>
      <x:c r="Q15" s="19" t="s">
        <x:v>1087</x:v>
      </x:c>
      <x:c r="R15" s="19" t="s">
        <x:v>1088</x:v>
      </x:c>
      <x:c r="S15" s="19" t="s">
        <x:v>1076</x:v>
      </x:c>
      <x:c r="T15" s="19" t="s">
        <x:v>538</x:v>
      </x:c>
    </x:row>
    <x:row r="16" ht="17">
      <x:c r="A16" s="20">
        <x:v>2</x:v>
      </x:c>
      <x:c r="B16" s="20" t="s">
        <x:v>1040</x:v>
      </x:c>
      <x:c r="C16" s="20" t="s">
        <x:v>1089</x:v>
      </x:c>
      <x:c r="D16" s="20" t="s">
        <x:v>1090</x:v>
      </x:c>
      <x:c r="E16" s="20">
        <x:v>12</x:v>
      </x:c>
      <x:c r="F16" s="20">
        <x:v>1250</x:v>
      </x:c>
      <x:c r="G16" s="20">
        <x:v>8</x:v>
      </x:c>
      <x:c r="H16" s="20">
        <x:v>42</x:v>
      </x:c>
      <x:c r="I16" s="20">
        <x:v>38</x:v>
      </x:c>
      <x:c r="J16" s="20">
        <x:v>24</x:v>
      </x:c>
      <x:c r="K16" s="20">
        <x:v>20</x:v>
      </x:c>
      <x:c r="L16" s="20">
        <x:v>12</x:v>
      </x:c>
      <x:c r="M16" s="20">
        <x:v>42</x:v>
      </x:c>
      <x:c r="N16" s="21">
        <x:f t="shared" si="0"/>
        <x:v>186</x:v>
      </x:c>
      <x:c r="O16" s="20">
        <x:v>35</x:v>
      </x:c>
      <x:c r="P16" s="20">
        <x:v>16</x:v>
      </x:c>
      <x:c r="Q16" s="19" t="s">
        <x:v>1091</x:v>
      </x:c>
      <x:c r="R16" s="19" t="s">
        <x:v>1092</x:v>
      </x:c>
      <x:c r="S16" s="19" t="s">
        <x:v>1076</x:v>
      </x:c>
      <x:c r="T16" s="19" t="s">
        <x:v>538</x:v>
      </x:c>
    </x:row>
    <x:row r="17" ht="17">
      <x:c r="A17" s="20">
        <x:v>2</x:v>
      </x:c>
      <x:c r="B17" s="20" t="s">
        <x:v>1062</x:v>
      </x:c>
      <x:c r="C17" s="20" t="s">
        <x:v>538</x:v>
      </x:c>
      <x:c r="D17" s="20" t="s">
        <x:v>1093</x:v>
      </x:c>
      <x:c r="E17" s="20">
        <x:v>12</x:v>
      </x:c>
      <x:c r="F17" s="20">
        <x:v>4200</x:v>
      </x:c>
      <x:c r="G17" s="20">
        <x:v>48</x:v>
      </x:c>
      <x:c r="H17" s="20">
        <x:v>8</x:v>
      </x:c>
      <x:c r="I17" s="20">
        <x:v>24</x:v>
      </x:c>
      <x:c r="J17" s="20">
        <x:v>15</x:v>
      </x:c>
      <x:c r="K17" s="20">
        <x:v>60</x:v>
      </x:c>
      <x:c r="L17" s="20">
        <x:v>45</x:v>
      </x:c>
      <x:c r="M17" s="20">
        <x:v>24</x:v>
      </x:c>
      <x:c r="N17" s="21">
        <x:f t="shared" si="0"/>
        <x:v>224</x:v>
      </x:c>
      <x:c r="O17" s="20">
        <x:v>100</x:v>
      </x:c>
      <x:c r="P17" s="20">
        <x:v>45</x:v>
      </x:c>
      <x:c r="Q17" s="19" t="s">
        <x:v>1094</x:v>
      </x:c>
      <x:c r="R17" s="19" t="s">
        <x:v>1095</x:v>
      </x:c>
      <x:c r="S17" s="19" t="s">
        <x:v>1096</x:v>
      </x:c>
      <x:c r="T17" s="19" t="s">
        <x:v>1097</x:v>
      </x:c>
    </x:row>
    <x:row r="18" ht="17">
      <x:c r="A18" s="20">
        <x:v>2</x:v>
      </x:c>
      <x:c r="B18" s="20" t="s">
        <x:v>1062</x:v>
      </x:c>
      <x:c r="C18" s="20" t="s">
        <x:v>538</x:v>
      </x:c>
      <x:c r="D18" s="20" t="s">
        <x:v>1098</x:v>
      </x:c>
      <x:c r="E18" s="20">
        <x:v>12</x:v>
      </x:c>
      <x:c r="F18" s="20">
        <x:v>3800</x:v>
      </x:c>
      <x:c r="G18" s="20">
        <x:v>20</x:v>
      </x:c>
      <x:c r="H18" s="20">
        <x:v>55</x:v>
      </x:c>
      <x:c r="I18" s="20">
        <x:v>42</x:v>
      </x:c>
      <x:c r="J18" s="20">
        <x:v>24</x:v>
      </x:c>
      <x:c r="K18" s="20">
        <x:v>52</x:v>
      </x:c>
      <x:c r="L18" s="20">
        <x:v>24</x:v>
      </x:c>
      <x:c r="M18" s="20">
        <x:v>48</x:v>
      </x:c>
      <x:c r="N18" s="21">
        <x:f t="shared" si="0"/>
        <x:v>265</x:v>
      </x:c>
      <x:c r="O18" s="20">
        <x:v>110</x:v>
      </x:c>
      <x:c r="P18" s="20">
        <x:v>50</x:v>
      </x:c>
      <x:c r="Q18" s="19" t="s">
        <x:v>1099</x:v>
      </x:c>
      <x:c r="R18" s="19" t="s">
        <x:v>1100</x:v>
      </x:c>
      <x:c r="S18" s="19" t="s">
        <x:v>1096</x:v>
      </x:c>
      <x:c r="T18" s="19" t="s">
        <x:v>1097</x:v>
      </x:c>
    </x:row>
    <x:row r="19" ht="17">
      <x:c r="A19" s="20">
        <x:v>2</x:v>
      </x:c>
      <x:c r="B19" s="20" t="s">
        <x:v>1062</x:v>
      </x:c>
      <x:c r="C19" s="20" t="s">
        <x:v>538</x:v>
      </x:c>
      <x:c r="D19" s="20" t="s">
        <x:v>1101</x:v>
      </x:c>
      <x:c r="E19" s="20">
        <x:v>13</x:v>
      </x:c>
      <x:c r="F19" s="20">
        <x:v>4800</x:v>
      </x:c>
      <x:c r="G19" s="20">
        <x:v>30</x:v>
      </x:c>
      <x:c r="H19" s="20">
        <x:v>50</x:v>
      </x:c>
      <x:c r="I19" s="20">
        <x:v>46</x:v>
      </x:c>
      <x:c r="J19" s="20">
        <x:v>20</x:v>
      </x:c>
      <x:c r="K19" s="20">
        <x:v>58</x:v>
      </x:c>
      <x:c r="L19" s="20">
        <x:v>40</x:v>
      </x:c>
      <x:c r="M19" s="20">
        <x:v>50</x:v>
      </x:c>
      <x:c r="N19" s="21">
        <x:f t="shared" si="0"/>
        <x:v>294</x:v>
      </x:c>
      <x:c r="O19" s="20">
        <x:v>120</x:v>
      </x:c>
      <x:c r="P19" s="20">
        <x:v>55</x:v>
      </x:c>
      <x:c r="Q19" s="19" t="s">
        <x:v>1102</x:v>
      </x:c>
      <x:c r="R19" s="19" t="s">
        <x:v>1103</x:v>
      </x:c>
      <x:c r="S19" s="19" t="s">
        <x:v>1096</x:v>
      </x:c>
      <x:c r="T19" s="19" t="s">
        <x:v>1097</x:v>
      </x:c>
    </x:row>
    <x:row r="20" ht="17">
      <x:c r="A20" s="20">
        <x:v>3</x:v>
      </x:c>
      <x:c r="B20" s="20" t="s">
        <x:v>1040</x:v>
      </x:c>
      <x:c r="C20" s="20" t="s">
        <x:v>538</x:v>
      </x:c>
      <x:c r="D20" s="20" t="s">
        <x:v>1104</x:v>
      </x:c>
      <x:c r="E20" s="20">
        <x:v>15</x:v>
      </x:c>
      <x:c r="F20" s="20">
        <x:v>2200</x:v>
      </x:c>
      <x:c r="G20" s="20">
        <x:v>48</x:v>
      </x:c>
      <x:c r="H20" s="20">
        <x:v>20</x:v>
      </x:c>
      <x:c r="I20" s="20">
        <x:v>45</x:v>
      </x:c>
      <x:c r="J20" s="20">
        <x:v>38</x:v>
      </x:c>
      <x:c r="K20" s="20">
        <x:v>38</x:v>
      </x:c>
      <x:c r="L20" s="20">
        <x:v>35</x:v>
      </x:c>
      <x:c r="M20" s="20">
        <x:v>38</x:v>
      </x:c>
      <x:c r="N20" s="21">
        <x:f t="shared" si="0"/>
        <x:v>262</x:v>
      </x:c>
      <x:c r="O20" s="20">
        <x:v>45</x:v>
      </x:c>
      <x:c r="P20" s="20">
        <x:v>18</x:v>
      </x:c>
      <x:c r="Q20" s="19" t="s">
        <x:v>1105</x:v>
      </x:c>
      <x:c r="R20" s="19" t="s">
        <x:v>1106</x:v>
      </x:c>
      <x:c r="S20" s="19" t="s">
        <x:v>1107</x:v>
      </x:c>
      <x:c r="T20" s="19" t="s">
        <x:v>1097</x:v>
      </x:c>
    </x:row>
    <x:row r="21" ht="17">
      <x:c r="A21" s="20">
        <x:v>3</x:v>
      </x:c>
      <x:c r="B21" s="20" t="s">
        <x:v>1040</x:v>
      </x:c>
      <x:c r="C21" s="20" t="s">
        <x:v>538</x:v>
      </x:c>
      <x:c r="D21" s="20" t="s">
        <x:v>1108</x:v>
      </x:c>
      <x:c r="E21" s="20">
        <x:v>16</x:v>
      </x:c>
      <x:c r="F21" s="20">
        <x:v>3200</x:v>
      </x:c>
      <x:c r="G21" s="20">
        <x:v>58</x:v>
      </x:c>
      <x:c r="H21" s="20">
        <x:v>12</x:v>
      </x:c>
      <x:c r="I21" s="20">
        <x:v>30</x:v>
      </x:c>
      <x:c r="J21" s="20">
        <x:v>16</x:v>
      </x:c>
      <x:c r="K21" s="20">
        <x:v>70</x:v>
      </x:c>
      <x:c r="L21" s="20">
        <x:v>62</x:v>
      </x:c>
      <x:c r="M21" s="20">
        <x:v>34</x:v>
      </x:c>
      <x:c r="N21" s="21">
        <x:f t="shared" si="0"/>
        <x:v>282</x:v>
      </x:c>
      <x:c r="O21" s="20">
        <x:v>52</x:v>
      </x:c>
      <x:c r="P21" s="20">
        <x:v>21</x:v>
      </x:c>
      <x:c r="Q21" s="19" t="s">
        <x:v>1109</x:v>
      </x:c>
      <x:c r="R21" s="19" t="s">
        <x:v>1110</x:v>
      </x:c>
      <x:c r="S21" s="19" t="s">
        <x:v>1107</x:v>
      </x:c>
      <x:c r="T21" s="19" t="s">
        <x:v>1097</x:v>
      </x:c>
    </x:row>
    <x:row r="22" ht="17">
      <x:c r="A22" s="20">
        <x:v>3</x:v>
      </x:c>
      <x:c r="B22" s="20" t="s">
        <x:v>1040</x:v>
      </x:c>
      <x:c r="C22" s="20" t="s">
        <x:v>538</x:v>
      </x:c>
      <x:c r="D22" s="20" t="s">
        <x:v>1111</x:v>
      </x:c>
      <x:c r="E22" s="20">
        <x:v>17</x:v>
      </x:c>
      <x:c r="F22" s="20">
        <x:v>2500</x:v>
      </x:c>
      <x:c r="G22" s="20">
        <x:v>42</x:v>
      </x:c>
      <x:c r="H22" s="20">
        <x:v>50</x:v>
      </x:c>
      <x:c r="I22" s="20">
        <x:v>58</x:v>
      </x:c>
      <x:c r="J22" s="20">
        <x:v>42</x:v>
      </x:c>
      <x:c r="K22" s="20">
        <x:v>42</x:v>
      </x:c>
      <x:c r="L22" s="20">
        <x:v>35</x:v>
      </x:c>
      <x:c r="M22" s="20">
        <x:v>44</x:v>
      </x:c>
      <x:c r="N22" s="21">
        <x:f t="shared" si="0"/>
        <x:v>313</x:v>
      </x:c>
      <x:c r="O22" s="20">
        <x:v>55</x:v>
      </x:c>
      <x:c r="P22" s="20">
        <x:v>22</x:v>
      </x:c>
      <x:c r="Q22" s="19" t="s">
        <x:v>1112</x:v>
      </x:c>
      <x:c r="R22" s="19" t="s">
        <x:v>1113</x:v>
      </x:c>
      <x:c r="S22" s="19" t="s">
        <x:v>1107</x:v>
      </x:c>
      <x:c r="T22" s="19" t="s">
        <x:v>1097</x:v>
      </x:c>
    </x:row>
    <x:row r="23" ht="17">
      <x:c r="A23" s="20">
        <x:v>3</x:v>
      </x:c>
      <x:c r="B23" s="20" t="s">
        <x:v>1040</x:v>
      </x:c>
      <x:c r="C23" s="20" t="s">
        <x:v>538</x:v>
      </x:c>
      <x:c r="D23" s="20" t="s">
        <x:v>1114</x:v>
      </x:c>
      <x:c r="E23" s="20">
        <x:v>18</x:v>
      </x:c>
      <x:c r="F23" s="20">
        <x:v>2700</x:v>
      </x:c>
      <x:c r="G23" s="20">
        <x:v>35</x:v>
      </x:c>
      <x:c r="H23" s="20">
        <x:v>55</x:v>
      </x:c>
      <x:c r="I23" s="20">
        <x:v>62</x:v>
      </x:c>
      <x:c r="J23" s="20">
        <x:v>30</x:v>
      </x:c>
      <x:c r="K23" s="20">
        <x:v>48</x:v>
      </x:c>
      <x:c r="L23" s="20">
        <x:v>32</x:v>
      </x:c>
      <x:c r="M23" s="20">
        <x:v>58</x:v>
      </x:c>
      <x:c r="N23" s="21">
        <x:f t="shared" si="0"/>
        <x:v>320</x:v>
      </x:c>
      <x:c r="O23" s="20">
        <x:v>60</x:v>
      </x:c>
      <x:c r="P23" s="20">
        <x:v>24</x:v>
      </x:c>
      <x:c r="Q23" s="19" t="s">
        <x:v>1115</x:v>
      </x:c>
      <x:c r="R23" s="19" t="s">
        <x:v>1116</x:v>
      </x:c>
      <x:c r="S23" s="19" t="s">
        <x:v>1107</x:v>
      </x:c>
      <x:c r="T23" s="19" t="s">
        <x:v>1097</x:v>
      </x:c>
    </x:row>
    <x:row r="24" ht="17">
      <x:c r="A24" s="20">
        <x:v>3</x:v>
      </x:c>
      <x:c r="B24" s="20" t="s">
        <x:v>1040</x:v>
      </x:c>
      <x:c r="C24" s="20" t="s">
        <x:v>538</x:v>
      </x:c>
      <x:c r="D24" s="20" t="s">
        <x:v>1117</x:v>
      </x:c>
      <x:c r="E24" s="20">
        <x:v>18</x:v>
      </x:c>
      <x:c r="F24" s="20">
        <x:v>3800</x:v>
      </x:c>
      <x:c r="G24" s="20">
        <x:v>68</x:v>
      </x:c>
      <x:c r="H24" s="20">
        <x:v>8</x:v>
      </x:c>
      <x:c r="I24" s="20">
        <x:v>32</x:v>
      </x:c>
      <x:c r="J24" s="20">
        <x:v>22</x:v>
      </x:c>
      <x:c r="K24" s="20">
        <x:v>82</x:v>
      </x:c>
      <x:c r="L24" s="20">
        <x:v>70</x:v>
      </x:c>
      <x:c r="M24" s="20">
        <x:v>28</x:v>
      </x:c>
      <x:c r="N24" s="21">
        <x:f t="shared" si="0"/>
        <x:v>310</x:v>
      </x:c>
      <x:c r="O24" s="20">
        <x:v>65</x:v>
      </x:c>
      <x:c r="P24" s="20">
        <x:v>26</x:v>
      </x:c>
      <x:c r="Q24" s="19" t="s">
        <x:v>1118</x:v>
      </x:c>
      <x:c r="R24" s="19" t="s">
        <x:v>1119</x:v>
      </x:c>
      <x:c r="S24" s="19" t="s">
        <x:v>1107</x:v>
      </x:c>
      <x:c r="T24" s="19" t="s">
        <x:v>1097</x:v>
      </x:c>
    </x:row>
    <x:row r="25" ht="17">
      <x:c r="A25" s="20">
        <x:v>3</x:v>
      </x:c>
      <x:c r="B25" s="20" t="s">
        <x:v>1062</x:v>
      </x:c>
      <x:c r="C25" s="20" t="s">
        <x:v>538</x:v>
      </x:c>
      <x:c r="D25" s="20" t="s">
        <x:v>1120</x:v>
      </x:c>
      <x:c r="E25" s="20">
        <x:v>18</x:v>
      </x:c>
      <x:c r="F25" s="20">
        <x:v>7600</x:v>
      </x:c>
      <x:c r="G25" s="20">
        <x:v>72</x:v>
      </x:c>
      <x:c r="H25" s="20">
        <x:v>40</x:v>
      </x:c>
      <x:c r="I25" s="20">
        <x:v>60</x:v>
      </x:c>
      <x:c r="J25" s="20">
        <x:v>28</x:v>
      </x:c>
      <x:c r="K25" s="20">
        <x:v>95</x:v>
      </x:c>
      <x:c r="L25" s="20">
        <x:v>76</x:v>
      </x:c>
      <x:c r="M25" s="20">
        <x:v>60</x:v>
      </x:c>
      <x:c r="N25" s="21">
        <x:f t="shared" si="0"/>
        <x:v>431</x:v>
      </x:c>
      <x:c r="O25" s="20">
        <x:v>200</x:v>
      </x:c>
      <x:c r="P25" s="20">
        <x:v>80</x:v>
      </x:c>
      <x:c r="Q25" s="19" t="s">
        <x:v>1121</x:v>
      </x:c>
      <x:c r="R25" s="19" t="s">
        <x:v>1122</x:v>
      </x:c>
      <x:c r="S25" s="19" t="s">
        <x:v>1123</x:v>
      </x:c>
      <x:c r="T25" s="19" t="s">
        <x:v>1097</x:v>
      </x:c>
    </x:row>
    <x:row r="26" ht="17">
      <x:c r="A26" s="20">
        <x:v>3</x:v>
      </x:c>
      <x:c r="B26" s="20" t="s">
        <x:v>1062</x:v>
      </x:c>
      <x:c r="C26" s="20" t="s">
        <x:v>538</x:v>
      </x:c>
      <x:c r="D26" s="20" t="s">
        <x:v>1124</x:v>
      </x:c>
      <x:c r="E26" s="20">
        <x:v>19</x:v>
      </x:c>
      <x:c r="F26" s="20">
        <x:v>6500</x:v>
      </x:c>
      <x:c r="G26" s="20">
        <x:v>38</x:v>
      </x:c>
      <x:c r="H26" s="20">
        <x:v>82</x:v>
      </x:c>
      <x:c r="I26" s="20">
        <x:v>90</x:v>
      </x:c>
      <x:c r="J26" s="20">
        <x:v>48</x:v>
      </x:c>
      <x:c r="K26" s="20">
        <x:v>65</x:v>
      </x:c>
      <x:c r="L26" s="20">
        <x:v>42</x:v>
      </x:c>
      <x:c r="M26" s="20">
        <x:v>78</x:v>
      </x:c>
      <x:c r="N26" s="21">
        <x:f t="shared" si="0"/>
        <x:v>443</x:v>
      </x:c>
      <x:c r="O26" s="20">
        <x:v>220</x:v>
      </x:c>
      <x:c r="P26" s="20">
        <x:v>88</x:v>
      </x:c>
      <x:c r="Q26" s="19" t="s">
        <x:v>1125</x:v>
      </x:c>
      <x:c r="R26" s="19" t="s">
        <x:v>1126</x:v>
      </x:c>
      <x:c r="S26" s="19" t="s">
        <x:v>1123</x:v>
      </x:c>
      <x:c r="T26" s="19" t="s">
        <x:v>1097</x:v>
      </x:c>
    </x:row>
    <x:row r="27" ht="17">
      <x:c r="A27" s="20">
        <x:v>3</x:v>
      </x:c>
      <x:c r="B27" s="20" t="s">
        <x:v>1062</x:v>
      </x:c>
      <x:c r="C27" s="20" t="s">
        <x:v>538</x:v>
      </x:c>
      <x:c r="D27" s="20" t="s">
        <x:v>1127</x:v>
      </x:c>
      <x:c r="E27" s="20">
        <x:v>19</x:v>
      </x:c>
      <x:c r="F27" s="20">
        <x:v>6200</x:v>
      </x:c>
      <x:c r="G27" s="20">
        <x:v>86</x:v>
      </x:c>
      <x:c r="H27" s="20">
        <x:v>15</x:v>
      </x:c>
      <x:c r="I27" s="20">
        <x:v>76</x:v>
      </x:c>
      <x:c r="J27" s="20">
        <x:v>78</x:v>
      </x:c>
      <x:c r="K27" s="20">
        <x:v>55</x:v>
      </x:c>
      <x:c r="L27" s="20">
        <x:v>52</x:v>
      </x:c>
      <x:c r="M27" s="20">
        <x:v>45</x:v>
      </x:c>
      <x:c r="N27" s="21">
        <x:f t="shared" si="0"/>
        <x:v>407</x:v>
      </x:c>
      <x:c r="O27" s="20">
        <x:v>210</x:v>
      </x:c>
      <x:c r="P27" s="20">
        <x:v>84</x:v>
      </x:c>
      <x:c r="Q27" s="19" t="s">
        <x:v>1128</x:v>
      </x:c>
      <x:c r="R27" s="19" t="s">
        <x:v>1129</x:v>
      </x:c>
      <x:c r="S27" s="19" t="s">
        <x:v>1123</x:v>
      </x:c>
      <x:c r="T27" s="19" t="s">
        <x:v>1097</x:v>
      </x:c>
    </x:row>
    <x:row r="28" ht="17">
      <x:c r="A28" s="20">
        <x:v>3</x:v>
      </x:c>
      <x:c r="B28" s="20" t="s">
        <x:v>1062</x:v>
      </x:c>
      <x:c r="C28" s="20" t="s">
        <x:v>538</x:v>
      </x:c>
      <x:c r="D28" s="20" t="s">
        <x:v>1130</x:v>
      </x:c>
      <x:c r="E28" s="20">
        <x:v>20</x:v>
      </x:c>
      <x:c r="F28" s="20">
        <x:v>9000</x:v>
      </x:c>
      <x:c r="G28" s="20">
        <x:v>92</x:v>
      </x:c>
      <x:c r="H28" s="20">
        <x:v>35</x:v>
      </x:c>
      <x:c r="I28" s="20">
        <x:v>62</x:v>
      </x:c>
      <x:c r="J28" s="20">
        <x:v>24</x:v>
      </x:c>
      <x:c r="K28" s="20">
        <x:v>115</x:v>
      </x:c>
      <x:c r="L28" s="20">
        <x:v>84</x:v>
      </x:c>
      <x:c r="M28" s="20">
        <x:v>68</x:v>
      </x:c>
      <x:c r="N28" s="21">
        <x:f t="shared" si="0"/>
        <x:v>480</x:v>
      </x:c>
      <x:c r="O28" s="20">
        <x:v>240</x:v>
      </x:c>
      <x:c r="P28" s="20">
        <x:v>96</x:v>
      </x:c>
      <x:c r="Q28" s="19" t="s">
        <x:v>1131</x:v>
      </x:c>
      <x:c r="R28" s="19" t="s">
        <x:v>1132</x:v>
      </x:c>
      <x:c r="S28" s="19" t="s">
        <x:v>1123</x:v>
      </x:c>
      <x:c r="T28" s="19" t="s">
        <x:v>1097</x:v>
      </x:c>
    </x:row>
    <x:row r="29" ht="17">
      <x:c r="A29" s="20">
        <x:v>4</x:v>
      </x:c>
      <x:c r="B29" s="20" t="s">
        <x:v>1040</x:v>
      </x:c>
      <x:c r="C29" s="20" t="s">
        <x:v>538</x:v>
      </x:c>
      <x:c r="D29" s="20" t="s">
        <x:v>1133</x:v>
      </x:c>
      <x:c r="E29" s="20">
        <x:v>21</x:v>
      </x:c>
      <x:c r="F29" s="20">
        <x:v>4200</x:v>
      </x:c>
      <x:c r="G29" s="20">
        <x:v>95</x:v>
      </x:c>
      <x:c r="H29" s="20">
        <x:v>20</x:v>
      </x:c>
      <x:c r="I29" s="20">
        <x:v>60</x:v>
      </x:c>
      <x:c r="J29" s="20">
        <x:v>35</x:v>
      </x:c>
      <x:c r="K29" s="20">
        <x:v>110</x:v>
      </x:c>
      <x:c r="L29" s="20">
        <x:v>90</x:v>
      </x:c>
      <x:c r="M29" s="20">
        <x:v>55</x:v>
      </x:c>
      <x:c r="N29" s="21">
        <x:f t="shared" si="0"/>
        <x:v>465</x:v>
      </x:c>
      <x:c r="O29" s="20">
        <x:v>72</x:v>
      </x:c>
      <x:c r="P29" s="20">
        <x:v>26</x:v>
      </x:c>
      <x:c r="Q29" s="19" t="s">
        <x:v>1134</x:v>
      </x:c>
      <x:c r="R29" s="19" t="s">
        <x:v>1135</x:v>
      </x:c>
      <x:c r="S29" s="19" t="s">
        <x:v>1136</x:v>
      </x:c>
      <x:c r="T29" s="19" t="s">
        <x:v>1097</x:v>
      </x:c>
    </x:row>
    <x:row r="30" ht="17">
      <x:c r="A30" s="20">
        <x:v>4</x:v>
      </x:c>
      <x:c r="B30" s="20" t="s">
        <x:v>1040</x:v>
      </x:c>
      <x:c r="C30" s="20" t="s">
        <x:v>538</x:v>
      </x:c>
      <x:c r="D30" s="20" t="s">
        <x:v>1137</x:v>
      </x:c>
      <x:c r="E30" s="20">
        <x:v>21</x:v>
      </x:c>
      <x:c r="F30" s="20">
        <x:v>3500</x:v>
      </x:c>
      <x:c r="G30" s="20">
        <x:v>30</x:v>
      </x:c>
      <x:c r="H30" s="20">
        <x:v>100</x:v>
      </x:c>
      <x:c r="I30" s="20">
        <x:v>92</x:v>
      </x:c>
      <x:c r="J30" s="20">
        <x:v>58</x:v>
      </x:c>
      <x:c r="K30" s="20">
        <x:v>72</x:v>
      </x:c>
      <x:c r="L30" s="20">
        <x:v>48</x:v>
      </x:c>
      <x:c r="M30" s="20">
        <x:v>96</x:v>
      </x:c>
      <x:c r="N30" s="21">
        <x:f t="shared" si="0"/>
        <x:v>496</x:v>
      </x:c>
      <x:c r="O30" s="20">
        <x:v>78</x:v>
      </x:c>
      <x:c r="P30" s="20">
        <x:v>28</x:v>
      </x:c>
      <x:c r="Q30" s="19" t="s">
        <x:v>1138</x:v>
      </x:c>
      <x:c r="R30" s="19" t="s">
        <x:v>1139</x:v>
      </x:c>
      <x:c r="S30" s="19" t="s">
        <x:v>1136</x:v>
      </x:c>
      <x:c r="T30" s="19" t="s">
        <x:v>1097</x:v>
      </x:c>
    </x:row>
    <x:row r="31" ht="17">
      <x:c r="A31" s="20">
        <x:v>4</x:v>
      </x:c>
      <x:c r="B31" s="20" t="s">
        <x:v>1040</x:v>
      </x:c>
      <x:c r="C31" s="20" t="s">
        <x:v>538</x:v>
      </x:c>
      <x:c r="D31" s="20" t="s">
        <x:v>1140</x:v>
      </x:c>
      <x:c r="E31" s="20">
        <x:v>22</x:v>
      </x:c>
      <x:c r="F31" s="20">
        <x:v>3200</x:v>
      </x:c>
      <x:c r="G31" s="20">
        <x:v>25</x:v>
      </x:c>
      <x:c r="H31" s="20">
        <x:v>90</x:v>
      </x:c>
      <x:c r="I31" s="20">
        <x:v>110</x:v>
      </x:c>
      <x:c r="J31" s="20">
        <x:v>72</x:v>
      </x:c>
      <x:c r="K31" s="20">
        <x:v>60</x:v>
      </x:c>
      <x:c r="L31" s="20">
        <x:v>38</x:v>
      </x:c>
      <x:c r="M31" s="20">
        <x:v>88</x:v>
      </x:c>
      <x:c r="N31" s="21">
        <x:f t="shared" si="0"/>
        <x:v>483</x:v>
      </x:c>
      <x:c r="O31" s="20">
        <x:v>82</x:v>
      </x:c>
      <x:c r="P31" s="20">
        <x:v>29</x:v>
      </x:c>
      <x:c r="Q31" s="19" t="s">
        <x:v>1141</x:v>
      </x:c>
      <x:c r="R31" s="19" t="s">
        <x:v>1142</x:v>
      </x:c>
      <x:c r="S31" s="19" t="s">
        <x:v>1136</x:v>
      </x:c>
      <x:c r="T31" s="19" t="s">
        <x:v>1097</x:v>
      </x:c>
    </x:row>
    <x:row r="32" ht="17">
      <x:c r="A32" s="20">
        <x:v>4</x:v>
      </x:c>
      <x:c r="B32" s="20" t="s">
        <x:v>1040</x:v>
      </x:c>
      <x:c r="C32" s="20" t="s">
        <x:v>538</x:v>
      </x:c>
      <x:c r="D32" s="20" t="s">
        <x:v>1143</x:v>
      </x:c>
      <x:c r="E32" s="20">
        <x:v>22</x:v>
      </x:c>
      <x:c r="F32" s="20">
        <x:v>5200</x:v>
      </x:c>
      <x:c r="G32" s="20">
        <x:v>115</x:v>
      </x:c>
      <x:c r="H32" s="20">
        <x:v>25</x:v>
      </x:c>
      <x:c r="I32" s="20">
        <x:v>65</x:v>
      </x:c>
      <x:c r="J32" s="20">
        <x:v>32</x:v>
      </x:c>
      <x:c r="K32" s="20">
        <x:v>130</x:v>
      </x:c>
      <x:c r="L32" s="20">
        <x:v>100</x:v>
      </x:c>
      <x:c r="M32" s="20">
        <x:v>60</x:v>
      </x:c>
      <x:c r="N32" s="21">
        <x:f t="shared" si="0"/>
        <x:v>527</x:v>
      </x:c>
      <x:c r="O32" s="20">
        <x:v>90</x:v>
      </x:c>
      <x:c r="P32" s="20">
        <x:v>32</x:v>
      </x:c>
      <x:c r="Q32" s="19" t="s">
        <x:v>1144</x:v>
      </x:c>
      <x:c r="R32" s="19" t="s">
        <x:v>1145</x:v>
      </x:c>
      <x:c r="S32" s="19" t="s">
        <x:v>1136</x:v>
      </x:c>
      <x:c r="T32" s="19" t="s">
        <x:v>1097</x:v>
      </x:c>
    </x:row>
    <x:row r="33" ht="17">
      <x:c r="A33" s="20">
        <x:v>4</x:v>
      </x:c>
      <x:c r="B33" s="20" t="s">
        <x:v>1040</x:v>
      </x:c>
      <x:c r="C33" s="20" t="s">
        <x:v>538</x:v>
      </x:c>
      <x:c r="D33" s="20" t="s">
        <x:v>1146</x:v>
      </x:c>
      <x:c r="E33" s="20">
        <x:v>23</x:v>
      </x:c>
      <x:c r="F33" s="20">
        <x:v>3800</x:v>
      </x:c>
      <x:c r="G33" s="20">
        <x:v>45</x:v>
      </x:c>
      <x:c r="H33" s="20">
        <x:v>110</x:v>
      </x:c>
      <x:c r="I33" s="20">
        <x:v>105</x:v>
      </x:c>
      <x:c r="J33" s="20">
        <x:v>82</x:v>
      </x:c>
      <x:c r="K33" s="20">
        <x:v>75</x:v>
      </x:c>
      <x:c r="L33" s="20">
        <x:v>50</x:v>
      </x:c>
      <x:c r="M33" s="20">
        <x:v>105</x:v>
      </x:c>
      <x:c r="N33" s="21">
        <x:f t="shared" si="0"/>
        <x:v>572</x:v>
      </x:c>
      <x:c r="O33" s="20">
        <x:v>98</x:v>
      </x:c>
      <x:c r="P33" s="20">
        <x:v>35</x:v>
      </x:c>
      <x:c r="Q33" s="19" t="s">
        <x:v>1147</x:v>
      </x:c>
      <x:c r="R33" s="19" t="s">
        <x:v>1148</x:v>
      </x:c>
      <x:c r="S33" s="19" t="s">
        <x:v>1136</x:v>
      </x:c>
      <x:c r="T33" s="19" t="s">
        <x:v>1097</x:v>
      </x:c>
    </x:row>
    <x:row r="34" ht="34">
      <x:c r="A34" s="20">
        <x:v>4</x:v>
      </x:c>
      <x:c r="B34" s="20" t="s">
        <x:v>1062</x:v>
      </x:c>
      <x:c r="C34" s="20" t="s">
        <x:v>538</x:v>
      </x:c>
      <x:c r="D34" s="20" t="s">
        <x:v>1149</x:v>
      </x:c>
      <x:c r="E34" s="20">
        <x:v>23</x:v>
      </x:c>
      <x:c r="F34" s="20">
        <x:v>10000</x:v>
      </x:c>
      <x:c r="G34" s="20">
        <x:v>130</x:v>
      </x:c>
      <x:c r="H34" s="20">
        <x:v>20</x:v>
      </x:c>
      <x:c r="I34" s="20">
        <x:v>75</x:v>
      </x:c>
      <x:c r="J34" s="20">
        <x:v>40</x:v>
      </x:c>
      <x:c r="K34" s="20">
        <x:v>165</x:v>
      </x:c>
      <x:c r="L34" s="20">
        <x:v>125</x:v>
      </x:c>
      <x:c r="M34" s="20">
        <x:v>72</x:v>
      </x:c>
      <x:c r="N34" s="21">
        <x:f t="shared" si="0"/>
        <x:v>627</x:v>
      </x:c>
      <x:c r="O34" s="20">
        <x:v>330</x:v>
      </x:c>
      <x:c r="P34" s="20">
        <x:v>116</x:v>
      </x:c>
      <x:c r="Q34" s="19" t="s">
        <x:v>1150</x:v>
      </x:c>
      <x:c r="R34" s="19" t="s">
        <x:v>1151</x:v>
      </x:c>
      <x:c r="S34" s="19" t="s">
        <x:v>1152</x:v>
      </x:c>
      <x:c r="T34" s="19" t="s">
        <x:v>1097</x:v>
      </x:c>
    </x:row>
    <x:row r="35" ht="17">
      <x:c r="A35" s="20">
        <x:v>4</x:v>
      </x:c>
      <x:c r="B35" s="20" t="s">
        <x:v>1062</x:v>
      </x:c>
      <x:c r="C35" s="20" t="s">
        <x:v>538</x:v>
      </x:c>
      <x:c r="D35" s="20" t="s">
        <x:v>1153</x:v>
      </x:c>
      <x:c r="E35" s="20">
        <x:v>23</x:v>
      </x:c>
      <x:c r="F35" s="20">
        <x:v>8500</x:v>
      </x:c>
      <x:c r="G35" s="20">
        <x:v>40</x:v>
      </x:c>
      <x:c r="H35" s="20">
        <x:v>135</x:v>
      </x:c>
      <x:c r="I35" s="20">
        <x:v>125</x:v>
      </x:c>
      <x:c r="J35" s="20">
        <x:v>95</x:v>
      </x:c>
      <x:c r="K35" s="20">
        <x:v>100</x:v>
      </x:c>
      <x:c r="L35" s="20">
        <x:v>60</x:v>
      </x:c>
      <x:c r="M35" s="20">
        <x:v>120</x:v>
      </x:c>
      <x:c r="N35" s="21">
        <x:f t="shared" si="0"/>
        <x:v>675</x:v>
      </x:c>
      <x:c r="O35" s="20">
        <x:v>360</x:v>
      </x:c>
      <x:c r="P35" s="20">
        <x:v>126</x:v>
      </x:c>
      <x:c r="Q35" s="19" t="s">
        <x:v>1154</x:v>
      </x:c>
      <x:c r="R35" s="19" t="s">
        <x:v>1155</x:v>
      </x:c>
      <x:c r="S35" s="19" t="s">
        <x:v>1152</x:v>
      </x:c>
      <x:c r="T35" s="19" t="s">
        <x:v>1097</x:v>
      </x:c>
    </x:row>
    <x:row r="36" ht="17">
      <x:c r="A36" s="20">
        <x:v>4</x:v>
      </x:c>
      <x:c r="B36" s="20" t="s">
        <x:v>1062</x:v>
      </x:c>
      <x:c r="C36" s="20" t="s">
        <x:v>538</x:v>
      </x:c>
      <x:c r="D36" s="20" t="s">
        <x:v>1156</x:v>
      </x:c>
      <x:c r="E36" s="20">
        <x:v>23</x:v>
      </x:c>
      <x:c r="F36" s="20">
        <x:v>9000</x:v>
      </x:c>
      <x:c r="G36" s="20">
        <x:v>85</x:v>
      </x:c>
      <x:c r="H36" s="20">
        <x:v>110</x:v>
      </x:c>
      <x:c r="I36" s="20">
        <x:v>100</x:v>
      </x:c>
      <x:c r="J36" s="20">
        <x:v>55</x:v>
      </x:c>
      <x:c r="K36" s="20">
        <x:v>125</x:v>
      </x:c>
      <x:c r="L36" s="20">
        <x:v>80</x:v>
      </x:c>
      <x:c r="M36" s="20">
        <x:v>105</x:v>
      </x:c>
      <x:c r="N36" s="21">
        <x:f t="shared" si="0"/>
        <x:v>660</x:v>
      </x:c>
      <x:c r="O36" s="20">
        <x:v>350</x:v>
      </x:c>
      <x:c r="P36" s="20">
        <x:v>122</x:v>
      </x:c>
      <x:c r="Q36" s="19" t="s">
        <x:v>1157</x:v>
      </x:c>
      <x:c r="R36" s="19" t="s">
        <x:v>1158</x:v>
      </x:c>
      <x:c r="S36" s="19" t="s">
        <x:v>1152</x:v>
      </x:c>
      <x:c r="T36" s="19" t="s">
        <x:v>1097</x:v>
      </x:c>
    </x:row>
    <x:row r="37" ht="17">
      <x:c r="A37" s="20">
        <x:v>4</x:v>
      </x:c>
      <x:c r="B37" s="20" t="s">
        <x:v>1062</x:v>
      </x:c>
      <x:c r="C37" s="20" t="s">
        <x:v>538</x:v>
      </x:c>
      <x:c r="D37" s="20" t="s">
        <x:v>1159</x:v>
      </x:c>
      <x:c r="E37" s="20">
        <x:v>24</x:v>
      </x:c>
      <x:c r="F37" s="20">
        <x:v>11500</x:v>
      </x:c>
      <x:c r="G37" s="20">
        <x:v>145</x:v>
      </x:c>
      <x:c r="H37" s="20">
        <x:v>55</x:v>
      </x:c>
      <x:c r="I37" s="20">
        <x:v>90</x:v>
      </x:c>
      <x:c r="J37" s="20">
        <x:v>48</x:v>
      </x:c>
      <x:c r="K37" s="20">
        <x:v>180</x:v>
      </x:c>
      <x:c r="L37" s="20">
        <x:v>130</x:v>
      </x:c>
      <x:c r="M37" s="20">
        <x:v>100</x:v>
      </x:c>
      <x:c r="N37" s="21">
        <x:f t="shared" si="0"/>
        <x:v>748</x:v>
      </x:c>
      <x:c r="O37" s="20">
        <x:v>400</x:v>
      </x:c>
      <x:c r="P37" s="20">
        <x:v>140</x:v>
      </x:c>
      <x:c r="Q37" s="19" t="s">
        <x:v>1160</x:v>
      </x:c>
      <x:c r="R37" s="19" t="s">
        <x:v>1161</x:v>
      </x:c>
      <x:c r="S37" s="19" t="s">
        <x:v>1152</x:v>
      </x:c>
      <x:c r="T37" s="19" t="s">
        <x:v>1097</x:v>
      </x:c>
    </x:row>
    <x:row r="38" ht="17">
      <x:c r="A38" s="20">
        <x:v>4</x:v>
      </x:c>
      <x:c r="B38" s="20" t="s">
        <x:v>1062</x:v>
      </x:c>
      <x:c r="C38" s="20" t="s">
        <x:v>538</x:v>
      </x:c>
      <x:c r="D38" s="20" t="s">
        <x:v>1162</x:v>
      </x:c>
      <x:c r="E38" s="20">
        <x:v>24</x:v>
      </x:c>
      <x:c r="F38" s="20">
        <x:v>8000</x:v>
      </x:c>
      <x:c r="G38" s="20">
        <x:v>75</x:v>
      </x:c>
      <x:c r="H38" s="20">
        <x:v>105</x:v>
      </x:c>
      <x:c r="I38" s="20">
        <x:v>120</x:v>
      </x:c>
      <x:c r="J38" s="20">
        <x:v>125</x:v>
      </x:c>
      <x:c r="K38" s="20">
        <x:v>90</x:v>
      </x:c>
      <x:c r="L38" s="20">
        <x:v>65</x:v>
      </x:c>
      <x:c r="M38" s="20">
        <x:v>90</x:v>
      </x:c>
      <x:c r="N38" s="21">
        <x:f t="shared" si="0"/>
        <x:v>670</x:v>
      </x:c>
      <x:c r="O38" s="20">
        <x:v>420</x:v>
      </x:c>
      <x:c r="P38" s="20">
        <x:v>147</x:v>
      </x:c>
      <x:c r="Q38" s="19" t="s">
        <x:v>1163</x:v>
      </x:c>
      <x:c r="R38" s="19" t="s">
        <x:v>1164</x:v>
      </x:c>
      <x:c r="S38" s="19" t="s">
        <x:v>1152</x:v>
      </x:c>
      <x:c r="T38" s="19" t="s">
        <x:v>1097</x:v>
      </x:c>
    </x:row>
  </x:sheetData>
  <x:mergeCells>
    <x:mergeCell ref="A1:T1"/>
    <x:mergeCell ref="A2:T2"/>
  </x:mergeCells>
  <x:conditionalFormatting sqref="C5:C38">
    <x:cfRule type="expression" dxfId="2" priority="1">
      <x:formula>C5=""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d15e335ede44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9" customWidth="1"/>
    <x:col min="2" max="2" width="28" customWidth="1"/>
    <x:col min="3" max="3" width="23" customWidth="1"/>
    <x:col min="4" max="4" width="24" customWidth="1"/>
    <x:col min="5" max="5" width="14" customWidth="1"/>
    <x:col min="6" max="6" width="30" customWidth="1"/>
    <x:col min="7" max="7" width="60" customWidth="1"/>
    <x:col min="8" max="8" width="38" customWidth="1"/>
    <x:col min="9" max="12" width="10" customWidth="1"/>
    <x:col min="13" max="13" width="12" customWidth="1"/>
    <x:col min="14" max="14" width="14" customWidth="1"/>
    <x:col min="15" max="15" width="56" customWidth="1"/>
    <x:col min="16" max="16" width="18" customWidth="1"/>
    <x:col min="17" max="18" width="12" customWidth="1"/>
  </x:cols>
  <x:sheetData>
    <x:row r="1" ht="30" customHeight="1">
      <x:c r="A1" s="1" t="s">
        <x:v>1165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30" customHeight="1">
      <x:c r="A2" s="2" t="s">
        <x:v>1166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4" ht="34">
      <x:c r="A4" s="3" t="s">
        <x:v>502</x:v>
      </x:c>
      <x:c r="B4" s="3" t="s">
        <x:v>1167</x:v>
      </x:c>
      <x:c r="C4" s="3" t="s">
        <x:v>1033</x:v>
      </x:c>
      <x:c r="D4" s="3" t="s">
        <x:v>1168</x:v>
      </x:c>
      <x:c r="E4" s="3" t="s">
        <x:v>1169</x:v>
      </x:c>
      <x:c r="F4" s="3" t="s">
        <x:v>268</x:v>
      </x:c>
      <x:c r="G4" s="3" t="s">
        <x:v>269</x:v>
      </x:c>
      <x:c r="H4" s="3" t="s">
        <x:v>270</x:v>
      </x:c>
      <x:c r="I4" s="3" t="s">
        <x:v>271</x:v>
      </x:c>
      <x:c r="J4" s="3" t="s">
        <x:v>272</x:v>
      </x:c>
      <x:c r="K4" s="3" t="s">
        <x:v>273</x:v>
      </x:c>
      <x:c r="L4" s="3" t="s">
        <x:v>274</x:v>
      </x:c>
      <x:c r="M4" s="3" t="s">
        <x:v>1034</x:v>
      </x:c>
      <x:c r="N4" s="3" t="s">
        <x:v>1170</x:v>
      </x:c>
      <x:c r="O4" s="3" t="s">
        <x:v>1171</x:v>
      </x:c>
      <x:c r="P4" s="3" t="s">
        <x:v>1172</x:v>
      </x:c>
    </x:row>
    <x:row r="5">
      <x:c r="A5" s="4">
        <x:v>1</x:v>
      </x:c>
      <x:c r="B5" s="4" t="s">
        <x:v>1173</x:v>
      </x:c>
      <x:c r="C5" s="4">
        <x:v>7</x:v>
      </x:c>
      <x:c r="D5" s="4">
        <x:v>6500</x:v>
      </x:c>
      <x:c r="E5" s="4">
        <x:v>0</x:v>
      </x:c>
      <x:c r="F5" s="4">
        <x:v>42</x:v>
      </x:c>
      <x:c r="G5" s="4">
        <x:v>12</x:v>
      </x:c>
      <x:c r="H5" s="4">
        <x:v>24</x:v>
      </x:c>
      <x:c r="I5" s="4">
        <x:v>10</x:v>
      </x:c>
      <x:c r="J5" s="4">
        <x:v>70</x:v>
      </x:c>
      <x:c r="K5" s="4">
        <x:v>48</x:v>
      </x:c>
      <x:c r="L5" s="4">
        <x:v>28</x:v>
      </x:c>
      <x:c r="M5" s="16" t="n">
        <x:f>SUM(F5:L5)</x:f>
        <x:v>234</x:v>
      </x:c>
      <x:c r="N5" s="4">
        <x:v>200</x:v>
      </x:c>
      <x:c r="O5" t="s">
        <x:v>1174</x:v>
      </x:c>
      <x:c r="P5" t="s">
        <x:v>1175</x:v>
      </x:c>
    </x:row>
    <x:row r="6">
      <x:c r="A6" s="4">
        <x:v>2</x:v>
      </x:c>
      <x:c r="B6" s="4" t="s">
        <x:v>1176</x:v>
      </x:c>
      <x:c r="C6" s="4">
        <x:v>13</x:v>
      </x:c>
      <x:c r="D6" s="4">
        <x:v>12000</x:v>
      </x:c>
      <x:c r="E6" s="4">
        <x:v>1800</x:v>
      </x:c>
      <x:c r="F6" s="4">
        <x:v>62</x:v>
      </x:c>
      <x:c r="G6" s="4">
        <x:v>42</x:v>
      </x:c>
      <x:c r="H6" s="4">
        <x:v>45</x:v>
      </x:c>
      <x:c r="I6" s="4">
        <x:v>18</x:v>
      </x:c>
      <x:c r="J6" s="4">
        <x:v>90</x:v>
      </x:c>
      <x:c r="K6" s="4">
        <x:v>58</x:v>
      </x:c>
      <x:c r="L6" s="4">
        <x:v>45</x:v>
      </x:c>
      <x:c r="M6" s="16" t="n">
        <x:f>SUM(F6:L6)</x:f>
        <x:v>360</x:v>
      </x:c>
      <x:c r="N6" s="4">
        <x:v>700</x:v>
      </x:c>
      <x:c r="O6" t="s">
        <x:v>1177</x:v>
      </x:c>
      <x:c r="P6" t="s">
        <x:v>1178</x:v>
      </x:c>
    </x:row>
    <x:row r="7">
      <x:c r="A7" s="4">
        <x:v>3</x:v>
      </x:c>
      <x:c r="B7" s="4" t="s">
        <x:v>1179</x:v>
      </x:c>
      <x:c r="C7" s="4">
        <x:v>20</x:v>
      </x:c>
      <x:c r="D7" s="4">
        <x:v>26000</x:v>
      </x:c>
      <x:c r="E7" s="4">
        <x:v>12000</x:v>
      </x:c>
      <x:c r="F7" s="4">
        <x:v>105</x:v>
      </x:c>
      <x:c r="G7" s="4">
        <x:v>88</x:v>
      </x:c>
      <x:c r="H7" s="4">
        <x:v>82</x:v>
      </x:c>
      <x:c r="I7" s="4">
        <x:v>28</x:v>
      </x:c>
      <x:c r="J7" s="4">
        <x:v>150</x:v>
      </x:c>
      <x:c r="K7" s="4">
        <x:v>92</x:v>
      </x:c>
      <x:c r="L7" s="4">
        <x:v>84</x:v>
      </x:c>
      <x:c r="M7" s="16" t="n">
        <x:f>SUM(F7:L7)</x:f>
        <x:v>629</x:v>
      </x:c>
      <x:c r="N7" s="4">
        <x:v>1800</x:v>
      </x:c>
      <x:c r="O7" t="s">
        <x:v>1180</x:v>
      </x:c>
      <x:c r="P7" t="s">
        <x:v>1175</x:v>
      </x:c>
    </x:row>
    <x:row r="8">
      <x:c r="A8" s="4">
        <x:v>4</x:v>
      </x:c>
      <x:c r="B8" s="4" t="s">
        <x:v>1181</x:v>
      </x:c>
      <x:c r="C8" s="4">
        <x:v>24</x:v>
      </x:c>
      <x:c r="D8" s="4">
        <x:v>45000</x:v>
      </x:c>
      <x:c r="E8" s="4">
        <x:v>11000</x:v>
      </x:c>
      <x:c r="F8" s="4">
        <x:v>155</x:v>
      </x:c>
      <x:c r="G8" s="4">
        <x:v>120</x:v>
      </x:c>
      <x:c r="H8" s="4">
        <x:v>145</x:v>
      </x:c>
      <x:c r="I8" s="4">
        <x:v>105</x:v>
      </x:c>
      <x:c r="J8" s="4">
        <x:v>220</x:v>
      </x:c>
      <x:c r="K8" s="4">
        <x:v>120</x:v>
      </x:c>
      <x:c r="L8" s="4">
        <x:v>115</x:v>
      </x:c>
      <x:c r="M8" s="16" t="n">
        <x:f>SUM(F8:L8)</x:f>
        <x:v>980</x:v>
      </x:c>
      <x:c r="N8" s="4">
        <x:v>4000</x:v>
      </x:c>
      <x:c r="O8" t="s">
        <x:v>1182</x:v>
      </x:c>
      <x:c r="P8" t="s">
        <x:v>1183</x:v>
      </x:c>
    </x:row>
    <x:row r="11" ht="22" customHeight="1">
      <x:c r="A11" s="5" t="s">
        <x:v>1184</x:v>
      </x:c>
      <x:c r="B11" s="5"/>
      <x:c r="C11" s="5"/>
      <x:c r="D11" s="5"/>
      <x:c r="E11" s="5"/>
      <x:c r="F11" s="5"/>
      <x:c r="G11" s="5"/>
      <x:c r="H11" s="5"/>
    </x:row>
    <x:row r="12">
      <x:c r="A12" s="6" t="s">
        <x:v>1185</x:v>
      </x:c>
      <x:c r="B12" s="6"/>
      <x:c r="C12" s="6"/>
      <x:c r="D12" s="6"/>
      <x:c r="E12" s="6"/>
      <x:c r="F12" s="6"/>
      <x:c r="G12" s="6"/>
      <x:c r="H12" s="6"/>
    </x:row>
    <x:row r="13" ht="17">
      <x:c r="A13" s="3" t="s">
        <x:v>502</x:v>
      </x:c>
      <x:c r="B13" s="3" t="s">
        <x:v>1167</x:v>
      </x:c>
      <x:c r="C13" s="3" t="s">
        <x:v>391</x:v>
      </x:c>
      <x:c r="D13" s="3" t="s">
        <x:v>1186</x:v>
      </x:c>
      <x:c r="E13" s="3" t="s">
        <x:v>1187</x:v>
      </x:c>
      <x:c r="F13" s="3" t="s">
        <x:v>1188</x:v>
      </x:c>
      <x:c r="G13" s="3" t="s">
        <x:v>1189</x:v>
      </x:c>
      <x:c r="H13" s="3" t="s">
        <x:v>79</x:v>
      </x:c>
    </x:row>
    <x:row r="14" ht="17">
      <x:c r="A14" s="19">
        <x:v>1</x:v>
      </x:c>
      <x:c r="B14" s="19" t="s">
        <x:v>1173</x:v>
      </x:c>
      <x:c r="C14" s="19" t="s">
        <x:v>1190</x:v>
      </x:c>
      <x:c r="D14" s="19" t="s">
        <x:v>1191</x:v>
      </x:c>
      <x:c r="E14" s="19" t="s">
        <x:v>1192</x:v>
      </x:c>
      <x:c r="F14" s="19" t="s">
        <x:v>1193</x:v>
      </x:c>
      <x:c r="G14" s="19" t="s">
        <x:v>1194</x:v>
      </x:c>
      <x:c r="H14" s="19" t="s">
        <x:v>1195</x:v>
      </x:c>
    </x:row>
    <x:row r="15" ht="17">
      <x:c r="A15" s="19">
        <x:v>1</x:v>
      </x:c>
      <x:c r="B15" s="19" t="s">
        <x:v>1173</x:v>
      </x:c>
      <x:c r="C15" s="19" t="s">
        <x:v>1190</x:v>
      </x:c>
      <x:c r="D15" s="19" t="s">
        <x:v>1196</x:v>
      </x:c>
      <x:c r="E15" s="19" t="s">
        <x:v>1197</x:v>
      </x:c>
      <x:c r="F15" s="19" t="s">
        <x:v>1198</x:v>
      </x:c>
      <x:c r="G15" s="19" t="s">
        <x:v>1199</x:v>
      </x:c>
      <x:c r="H15" s="19" t="s">
        <x:v>1195</x:v>
      </x:c>
    </x:row>
    <x:row r="16" ht="17">
      <x:c r="A16" s="19">
        <x:v>1</x:v>
      </x:c>
      <x:c r="B16" s="19" t="s">
        <x:v>1173</x:v>
      </x:c>
      <x:c r="C16" s="19" t="s">
        <x:v>1190</x:v>
      </x:c>
      <x:c r="D16" s="19" t="s">
        <x:v>1200</x:v>
      </x:c>
      <x:c r="E16" s="19" t="s">
        <x:v>1201</x:v>
      </x:c>
      <x:c r="F16" s="19" t="s">
        <x:v>1202</x:v>
      </x:c>
      <x:c r="G16" s="19" t="s">
        <x:v>1203</x:v>
      </x:c>
      <x:c r="H16" s="19" t="s">
        <x:v>1195</x:v>
      </x:c>
    </x:row>
    <x:row r="17" ht="17">
      <x:c r="A17" s="19">
        <x:v>1</x:v>
      </x:c>
      <x:c r="B17" s="19" t="s">
        <x:v>1173</x:v>
      </x:c>
      <x:c r="C17" s="19" t="s">
        <x:v>1190</x:v>
      </x:c>
      <x:c r="D17" s="19" t="s">
        <x:v>1204</x:v>
      </x:c>
      <x:c r="E17" s="19" t="s">
        <x:v>1205</x:v>
      </x:c>
      <x:c r="F17" s="19" t="s">
        <x:v>1206</x:v>
      </x:c>
      <x:c r="G17" s="19" t="s">
        <x:v>1207</x:v>
      </x:c>
      <x:c r="H17" s="19" t="s">
        <x:v>1195</x:v>
      </x:c>
    </x:row>
    <x:row r="18" ht="17">
      <x:c r="A18" s="19">
        <x:v>2</x:v>
      </x:c>
      <x:c r="B18" s="19" t="s">
        <x:v>1176</x:v>
      </x:c>
      <x:c r="C18" s="19" t="s">
        <x:v>1190</x:v>
      </x:c>
      <x:c r="D18" s="19" t="s">
        <x:v>1208</x:v>
      </x:c>
      <x:c r="E18" s="19" t="s">
        <x:v>1209</x:v>
      </x:c>
      <x:c r="F18" s="19" t="s">
        <x:v>1210</x:v>
      </x:c>
      <x:c r="G18" s="19" t="s">
        <x:v>1211</x:v>
      </x:c>
      <x:c r="H18" s="19" t="s">
        <x:v>1212</x:v>
      </x:c>
    </x:row>
    <x:row r="19" ht="17">
      <x:c r="A19" s="19">
        <x:v>2</x:v>
      </x:c>
      <x:c r="B19" s="19" t="s">
        <x:v>1176</x:v>
      </x:c>
      <x:c r="C19" s="19" t="s">
        <x:v>1190</x:v>
      </x:c>
      <x:c r="D19" s="19" t="s">
        <x:v>1213</x:v>
      </x:c>
      <x:c r="E19" s="19" t="s">
        <x:v>1214</x:v>
      </x:c>
      <x:c r="F19" s="19" t="s">
        <x:v>1215</x:v>
      </x:c>
      <x:c r="G19" s="19" t="s">
        <x:v>1216</x:v>
      </x:c>
      <x:c r="H19" s="19" t="s">
        <x:v>1212</x:v>
      </x:c>
    </x:row>
    <x:row r="20" ht="17">
      <x:c r="A20" s="19">
        <x:v>2</x:v>
      </x:c>
      <x:c r="B20" s="19" t="s">
        <x:v>1176</x:v>
      </x:c>
      <x:c r="C20" s="19" t="s">
        <x:v>1190</x:v>
      </x:c>
      <x:c r="D20" s="19" t="s">
        <x:v>1217</x:v>
      </x:c>
      <x:c r="E20" s="19" t="s">
        <x:v>1218</x:v>
      </x:c>
      <x:c r="F20" s="19" t="s">
        <x:v>1219</x:v>
      </x:c>
      <x:c r="G20" s="19" t="s">
        <x:v>1220</x:v>
      </x:c>
      <x:c r="H20" s="19" t="s">
        <x:v>1212</x:v>
      </x:c>
    </x:row>
    <x:row r="21" ht="34">
      <x:c r="A21" s="19">
        <x:v>2</x:v>
      </x:c>
      <x:c r="B21" s="19" t="s">
        <x:v>1176</x:v>
      </x:c>
      <x:c r="C21" s="19" t="s">
        <x:v>1190</x:v>
      </x:c>
      <x:c r="D21" s="19" t="s">
        <x:v>1221</x:v>
      </x:c>
      <x:c r="E21" s="19" t="s">
        <x:v>1205</x:v>
      </x:c>
      <x:c r="F21" s="19" t="s">
        <x:v>1222</x:v>
      </x:c>
      <x:c r="G21" s="19" t="s">
        <x:v>1223</x:v>
      </x:c>
      <x:c r="H21" s="19" t="s">
        <x:v>1212</x:v>
      </x:c>
    </x:row>
    <x:row r="22" ht="17">
      <x:c r="A22" s="19">
        <x:v>3</x:v>
      </x:c>
      <x:c r="B22" s="19" t="s">
        <x:v>1179</x:v>
      </x:c>
      <x:c r="C22" s="19" t="s">
        <x:v>1190</x:v>
      </x:c>
      <x:c r="D22" s="19" t="s">
        <x:v>1224</x:v>
      </x:c>
      <x:c r="E22" s="19" t="s">
        <x:v>1225</x:v>
      </x:c>
      <x:c r="F22" s="19" t="s">
        <x:v>1226</x:v>
      </x:c>
      <x:c r="G22" s="19" t="s">
        <x:v>1227</x:v>
      </x:c>
      <x:c r="H22" s="19" t="s">
        <x:v>1228</x:v>
      </x:c>
    </x:row>
    <x:row r="23" ht="17">
      <x:c r="A23" s="19">
        <x:v>3</x:v>
      </x:c>
      <x:c r="B23" s="19" t="s">
        <x:v>1179</x:v>
      </x:c>
      <x:c r="C23" s="19" t="s">
        <x:v>1190</x:v>
      </x:c>
      <x:c r="D23" s="19" t="s">
        <x:v>1229</x:v>
      </x:c>
      <x:c r="E23" s="19" t="s">
        <x:v>1230</x:v>
      </x:c>
      <x:c r="F23" s="19" t="s">
        <x:v>1231</x:v>
      </x:c>
      <x:c r="G23" s="19" t="s">
        <x:v>1232</x:v>
      </x:c>
      <x:c r="H23" s="19" t="s">
        <x:v>1228</x:v>
      </x:c>
    </x:row>
    <x:row r="24" ht="17">
      <x:c r="A24" s="19">
        <x:v>3</x:v>
      </x:c>
      <x:c r="B24" s="19" t="s">
        <x:v>1179</x:v>
      </x:c>
      <x:c r="C24" s="19" t="s">
        <x:v>1190</x:v>
      </x:c>
      <x:c r="D24" s="19" t="s">
        <x:v>1233</x:v>
      </x:c>
      <x:c r="E24" s="19" t="s">
        <x:v>1234</x:v>
      </x:c>
      <x:c r="F24" s="19" t="s">
        <x:v>1235</x:v>
      </x:c>
      <x:c r="G24" s="19" t="s">
        <x:v>1236</x:v>
      </x:c>
      <x:c r="H24" s="19" t="s">
        <x:v>1228</x:v>
      </x:c>
    </x:row>
    <x:row r="25" ht="34">
      <x:c r="A25" s="19">
        <x:v>3</x:v>
      </x:c>
      <x:c r="B25" s="19" t="s">
        <x:v>1179</x:v>
      </x:c>
      <x:c r="C25" s="19" t="s">
        <x:v>1190</x:v>
      </x:c>
      <x:c r="D25" s="19" t="s">
        <x:v>1237</x:v>
      </x:c>
      <x:c r="E25" s="19" t="s">
        <x:v>1238</x:v>
      </x:c>
      <x:c r="F25" s="19" t="s">
        <x:v>1239</x:v>
      </x:c>
      <x:c r="G25" s="19" t="s">
        <x:v>1240</x:v>
      </x:c>
      <x:c r="H25" s="19" t="s">
        <x:v>1228</x:v>
      </x:c>
    </x:row>
    <x:row r="26" ht="17">
      <x:c r="A26" s="19">
        <x:v>3</x:v>
      </x:c>
      <x:c r="B26" s="19" t="s">
        <x:v>1179</x:v>
      </x:c>
      <x:c r="C26" s="19" t="s">
        <x:v>1190</x:v>
      </x:c>
      <x:c r="D26" s="19" t="s">
        <x:v>1241</x:v>
      </x:c>
      <x:c r="E26" s="19" t="s">
        <x:v>391</x:v>
      </x:c>
      <x:c r="F26" s="19" t="s">
        <x:v>1242</x:v>
      </x:c>
      <x:c r="G26" s="19" t="s">
        <x:v>1243</x:v>
      </x:c>
      <x:c r="H26" s="19" t="s">
        <x:v>1228</x:v>
      </x:c>
    </x:row>
    <x:row r="27" ht="17">
      <x:c r="A27" s="19">
        <x:v>4</x:v>
      </x:c>
      <x:c r="B27" s="19" t="s">
        <x:v>1181</x:v>
      </x:c>
      <x:c r="C27" s="19" t="s">
        <x:v>1244</x:v>
      </x:c>
      <x:c r="D27" s="19" t="s">
        <x:v>1245</x:v>
      </x:c>
      <x:c r="E27" s="19" t="s">
        <x:v>1246</x:v>
      </x:c>
      <x:c r="F27" s="19" t="s">
        <x:v>1247</x:v>
      </x:c>
      <x:c r="G27" s="19" t="s">
        <x:v>1248</x:v>
      </x:c>
      <x:c r="H27" s="19" t="s">
        <x:v>1249</x:v>
      </x:c>
    </x:row>
    <x:row r="28" ht="17">
      <x:c r="A28" s="19">
        <x:v>4</x:v>
      </x:c>
      <x:c r="B28" s="19" t="s">
        <x:v>1181</x:v>
      </x:c>
      <x:c r="C28" s="19" t="s">
        <x:v>1244</x:v>
      </x:c>
      <x:c r="D28" s="19" t="s">
        <x:v>1250</x:v>
      </x:c>
      <x:c r="E28" s="19" t="s">
        <x:v>1251</x:v>
      </x:c>
      <x:c r="F28" s="19" t="s">
        <x:v>1252</x:v>
      </x:c>
      <x:c r="G28" s="19" t="s">
        <x:v>1253</x:v>
      </x:c>
      <x:c r="H28" s="19" t="s">
        <x:v>1249</x:v>
      </x:c>
    </x:row>
    <x:row r="29" ht="17">
      <x:c r="A29" s="19">
        <x:v>4</x:v>
      </x:c>
      <x:c r="B29" s="19" t="s">
        <x:v>1181</x:v>
      </x:c>
      <x:c r="C29" s="19" t="s">
        <x:v>1244</x:v>
      </x:c>
      <x:c r="D29" s="19" t="s">
        <x:v>1254</x:v>
      </x:c>
      <x:c r="E29" s="19" t="s">
        <x:v>1255</x:v>
      </x:c>
      <x:c r="F29" s="19" t="s">
        <x:v>1256</x:v>
      </x:c>
      <x:c r="G29" s="19" t="s">
        <x:v>1257</x:v>
      </x:c>
      <x:c r="H29" s="19" t="s">
        <x:v>1249</x:v>
      </x:c>
    </x:row>
    <x:row r="30" ht="17">
      <x:c r="A30" s="19">
        <x:v>4</x:v>
      </x:c>
      <x:c r="B30" s="19" t="s">
        <x:v>1181</x:v>
      </x:c>
      <x:c r="C30" s="19" t="s">
        <x:v>1258</x:v>
      </x:c>
      <x:c r="D30" s="19" t="s">
        <x:v>1259</x:v>
      </x:c>
      <x:c r="E30" s="19" t="s">
        <x:v>1260</x:v>
      </x:c>
      <x:c r="F30" s="19" t="s">
        <x:v>1261</x:v>
      </x:c>
      <x:c r="G30" s="19" t="s">
        <x:v>1262</x:v>
      </x:c>
      <x:c r="H30" s="19" t="s">
        <x:v>1263</x:v>
      </x:c>
    </x:row>
    <x:row r="31" ht="17">
      <x:c r="A31" s="19">
        <x:v>4</x:v>
      </x:c>
      <x:c r="B31" s="19" t="s">
        <x:v>1181</x:v>
      </x:c>
      <x:c r="C31" s="19" t="s">
        <x:v>1258</x:v>
      </x:c>
      <x:c r="D31" s="19" t="s">
        <x:v>1264</x:v>
      </x:c>
      <x:c r="E31" s="19" t="s">
        <x:v>1214</x:v>
      </x:c>
      <x:c r="F31" s="19" t="s">
        <x:v>1265</x:v>
      </x:c>
      <x:c r="G31" s="19" t="s">
        <x:v>1266</x:v>
      </x:c>
      <x:c r="H31" s="19" t="s">
        <x:v>1263</x:v>
      </x:c>
    </x:row>
    <x:row r="32" ht="34">
      <x:c r="A32" s="19">
        <x:v>4</x:v>
      </x:c>
      <x:c r="B32" s="19" t="s">
        <x:v>1181</x:v>
      </x:c>
      <x:c r="C32" s="19" t="s">
        <x:v>1258</x:v>
      </x:c>
      <x:c r="D32" s="19" t="s">
        <x:v>1267</x:v>
      </x:c>
      <x:c r="E32" s="19" t="s">
        <x:v>1255</x:v>
      </x:c>
      <x:c r="F32" s="19" t="s">
        <x:v>1268</x:v>
      </x:c>
      <x:c r="G32" s="19" t="s">
        <x:v>1269</x:v>
      </x:c>
      <x:c r="H32" s="19" t="s">
        <x:v>1263</x:v>
      </x:c>
    </x:row>
    <x:row r="33" ht="17">
      <x:c r="A33" s="19">
        <x:v>4</x:v>
      </x:c>
      <x:c r="B33" s="19" t="s">
        <x:v>1181</x:v>
      </x:c>
      <x:c r="C33" s="19" t="s">
        <x:v>1270</x:v>
      </x:c>
      <x:c r="D33" s="19" t="s">
        <x:v>1271</x:v>
      </x:c>
      <x:c r="E33" s="19" t="s">
        <x:v>1238</x:v>
      </x:c>
      <x:c r="F33" s="19" t="s">
        <x:v>1219</x:v>
      </x:c>
      <x:c r="G33" s="19" t="s">
        <x:v>1272</x:v>
      </x:c>
      <x:c r="H33" s="19" t="s">
        <x:v>1273</x:v>
      </x:c>
    </x:row>
    <x:row r="34" ht="17">
      <x:c r="A34" s="19">
        <x:v>4</x:v>
      </x:c>
      <x:c r="B34" s="19" t="s">
        <x:v>1181</x:v>
      </x:c>
      <x:c r="C34" s="19" t="s">
        <x:v>1270</x:v>
      </x:c>
      <x:c r="D34" s="19" t="s">
        <x:v>1274</x:v>
      </x:c>
      <x:c r="E34" s="19" t="s">
        <x:v>1275</x:v>
      </x:c>
      <x:c r="F34" s="19" t="s">
        <x:v>1276</x:v>
      </x:c>
      <x:c r="G34" s="19" t="s">
        <x:v>1277</x:v>
      </x:c>
      <x:c r="H34" s="19" t="s">
        <x:v>1273</x:v>
      </x:c>
    </x:row>
    <x:row r="35" ht="17">
      <x:c r="A35" s="19">
        <x:v>4</x:v>
      </x:c>
      <x:c r="B35" s="19" t="s">
        <x:v>1181</x:v>
      </x:c>
      <x:c r="C35" s="19" t="s">
        <x:v>1270</x:v>
      </x:c>
      <x:c r="D35" s="19" t="s">
        <x:v>1278</x:v>
      </x:c>
      <x:c r="E35" s="19" t="s">
        <x:v>1279</x:v>
      </x:c>
      <x:c r="F35" s="19" t="s">
        <x:v>1280</x:v>
      </x:c>
      <x:c r="G35" s="19" t="s">
        <x:v>1281</x:v>
      </x:c>
      <x:c r="H35" s="19" t="s">
        <x:v>1273</x:v>
      </x:c>
    </x:row>
    <x:row r="36" ht="17">
      <x:c r="A36" s="19">
        <x:v>4</x:v>
      </x:c>
      <x:c r="B36" s="19" t="s">
        <x:v>1181</x:v>
      </x:c>
      <x:c r="C36" s="19" t="s">
        <x:v>1270</x:v>
      </x:c>
      <x:c r="D36" s="19" t="s">
        <x:v>1282</x:v>
      </x:c>
      <x:c r="E36" s="19" t="s">
        <x:v>1283</x:v>
      </x:c>
      <x:c r="F36" s="19" t="s">
        <x:v>1284</x:v>
      </x:c>
      <x:c r="G36" s="19" t="s">
        <x:v>1285</x:v>
      </x:c>
      <x:c r="H36" s="19" t="s">
        <x:v>1273</x:v>
      </x:c>
    </x:row>
  </x:sheetData>
  <x:mergeCells>
    <x:mergeCell ref="A1:R1"/>
    <x:mergeCell ref="A2:R2"/>
    <x:mergeCell ref="A11:H11"/>
    <x:mergeCell ref="A12:H12"/>
  </x:mergeCells>
  <x:pageMargins left="0.7" right="0.7" top="0.75" bottom="0.75" header="0.3" footer="0.3"/>
  <x:tableParts count="2">
    <x:tablePart xmlns:r="http://schemas.openxmlformats.org/officeDocument/2006/relationships" r:id="R8f378448ab514835"/>
    <x:tablePart xmlns:r="http://schemas.openxmlformats.org/officeDocument/2006/relationships" r:id="R1b434a28560c43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customWidth="1"/>
    <x:col min="2" max="3" width="18" customWidth="1"/>
    <x:col min="4" max="4" width="64" customWidth="1"/>
    <x:col min="5" max="5" width="20" customWidth="1"/>
    <x:col min="6" max="6" width="14" customWidth="1"/>
    <x:col min="7" max="7" width="16" customWidth="1"/>
    <x:col min="8" max="8" width="24" customWidth="1"/>
  </x:cols>
  <x:sheetData>
    <x:row r="1" ht="30" customHeight="1">
      <x:c r="A1" s="1" t="s">
        <x:v>1286</x:v>
      </x:c>
      <x:c r="B1" s="1"/>
      <x:c r="C1" s="1"/>
      <x:c r="D1" s="1"/>
      <x:c r="E1" s="1"/>
      <x:c r="F1" s="1"/>
      <x:c r="G1" s="1"/>
      <x:c r="H1" s="1"/>
    </x:row>
    <x:row r="2" ht="30" customHeight="1">
      <x:c r="A2" s="2" t="s">
        <x:v>1287</x:v>
      </x:c>
      <x:c r="B2" s="2"/>
      <x:c r="C2" s="2"/>
      <x:c r="D2" s="2"/>
      <x:c r="E2" s="2"/>
      <x:c r="F2" s="2"/>
      <x:c r="G2" s="2"/>
      <x:c r="H2" s="2"/>
    </x:row>
    <x:row r="4" ht="17">
      <x:c r="A4" s="3" t="s">
        <x:v>1288</x:v>
      </x:c>
      <x:c r="B4" s="3" t="s">
        <x:v>1289</x:v>
      </x:c>
      <x:c r="C4" s="3" t="s">
        <x:v>1290</x:v>
      </x:c>
      <x:c r="D4" s="3" t="s">
        <x:v>1291</x:v>
      </x:c>
    </x:row>
    <x:row r="5" ht="34">
      <x:c r="A5" s="4">
        <x:v>1</x:v>
      </x:c>
      <x:c r="B5" s="4">
        <x:v>0</x:v>
      </x:c>
      <x:c r="C5" s="16" t="n">
        <x:f>SUM($B$5:B5)</x:f>
        <x:v>0</x:v>
      </x:c>
      <x:c r="D5" s="18" t="s">
        <x:v>1292</x:v>
      </x:c>
    </x:row>
    <x:row r="6" ht="17">
      <x:c r="A6" s="4">
        <x:v>2</x:v>
      </x:c>
      <x:c r="B6" s="4">
        <x:v>40</x:v>
      </x:c>
      <x:c r="C6" s="16" t="n">
        <x:f>SUM($B$5:B6)</x:f>
        <x:v>40</x:v>
      </x:c>
      <x:c r="D6" s="18" t="s">
        <x:v>1293</x:v>
      </x:c>
    </x:row>
    <x:row r="7" ht="17">
      <x:c r="A7" s="4">
        <x:v>3</x:v>
      </x:c>
      <x:c r="B7" s="4">
        <x:v>60</x:v>
      </x:c>
      <x:c r="C7" s="16" t="n">
        <x:f>SUM($B$5:B7)</x:f>
        <x:v>100</x:v>
      </x:c>
      <x:c r="D7" s="18" t="s">
        <x:v>1294</x:v>
      </x:c>
    </x:row>
    <x:row r="8" ht="17">
      <x:c r="A8" s="4">
        <x:v>4</x:v>
      </x:c>
      <x:c r="B8" s="4">
        <x:v>90</x:v>
      </x:c>
      <x:c r="C8" s="16" t="n">
        <x:f>SUM($B$5:B8)</x:f>
        <x:v>190</x:v>
      </x:c>
      <x:c r="D8" s="18" t="s">
        <x:v>1295</x:v>
      </x:c>
    </x:row>
    <x:row r="9" ht="17">
      <x:c r="A9" s="4">
        <x:v>5</x:v>
      </x:c>
      <x:c r="B9" s="4">
        <x:v>130</x:v>
      </x:c>
      <x:c r="C9" s="16" t="n">
        <x:f>SUM($B$5:B9)</x:f>
        <x:v>320</x:v>
      </x:c>
      <x:c r="D9" s="18" t="s">
        <x:v>1296</x:v>
      </x:c>
    </x:row>
    <x:row r="10" ht="17">
      <x:c r="A10" s="4">
        <x:v>6</x:v>
      </x:c>
      <x:c r="B10" s="4">
        <x:v>180</x:v>
      </x:c>
      <x:c r="C10" s="16" t="n">
        <x:f>SUM($B$5:B10)</x:f>
        <x:v>500</x:v>
      </x:c>
      <x:c r="D10" s="18" t="s">
        <x:v>1297</x:v>
      </x:c>
    </x:row>
    <x:row r="11" ht="17">
      <x:c r="A11" s="4">
        <x:v>7</x:v>
      </x:c>
      <x:c r="B11" s="4">
        <x:v>240</x:v>
      </x:c>
      <x:c r="C11" s="16" t="n">
        <x:f>SUM($B$5:B11)</x:f>
        <x:v>740</x:v>
      </x:c>
      <x:c r="D11" s="18" t="s">
        <x:v>1298</x:v>
      </x:c>
    </x:row>
    <x:row r="12" ht="17">
      <x:c r="A12" s="4">
        <x:v>8</x:v>
      </x:c>
      <x:c r="B12" s="4">
        <x:v>320</x:v>
      </x:c>
      <x:c r="C12" s="16" t="n">
        <x:f>SUM($B$5:B12)</x:f>
        <x:v>1060</x:v>
      </x:c>
      <x:c r="D12" s="18" t="s">
        <x:v>1299</x:v>
      </x:c>
    </x:row>
    <x:row r="13" ht="17">
      <x:c r="A13" s="4">
        <x:v>9</x:v>
      </x:c>
      <x:c r="B13" s="4">
        <x:v>420</x:v>
      </x:c>
      <x:c r="C13" s="16" t="n">
        <x:f>SUM($B$5:B13)</x:f>
        <x:v>1480</x:v>
      </x:c>
      <x:c r="D13" s="18" t="s">
        <x:v>1300</x:v>
      </x:c>
    </x:row>
    <x:row r="14" ht="17">
      <x:c r="A14" s="4">
        <x:v>10</x:v>
      </x:c>
      <x:c r="B14" s="4">
        <x:v>540</x:v>
      </x:c>
      <x:c r="C14" s="16" t="n">
        <x:f>SUM($B$5:B14)</x:f>
        <x:v>2020</x:v>
      </x:c>
      <x:c r="D14" s="18" t="s">
        <x:v>1301</x:v>
      </x:c>
    </x:row>
    <x:row r="15" ht="17">
      <x:c r="A15" s="4">
        <x:v>11</x:v>
      </x:c>
      <x:c r="B15" s="4">
        <x:v>680</x:v>
      </x:c>
      <x:c r="C15" s="16" t="n">
        <x:f>SUM($B$5:B15)</x:f>
        <x:v>2700</x:v>
      </x:c>
      <x:c r="D15" s="18" t="s">
        <x:v>1302</x:v>
      </x:c>
    </x:row>
    <x:row r="16" ht="17">
      <x:c r="A16" s="4">
        <x:v>12</x:v>
      </x:c>
      <x:c r="B16" s="4">
        <x:v>850</x:v>
      </x:c>
      <x:c r="C16" s="16" t="n">
        <x:f>SUM($B$5:B16)</x:f>
        <x:v>3550</x:v>
      </x:c>
      <x:c r="D16" s="18" t="s">
        <x:v>1303</x:v>
      </x:c>
    </x:row>
    <x:row r="17" ht="17">
      <x:c r="A17" s="4">
        <x:v>13</x:v>
      </x:c>
      <x:c r="B17" s="4">
        <x:v>1050</x:v>
      </x:c>
      <x:c r="C17" s="16" t="n">
        <x:f>SUM($B$5:B17)</x:f>
        <x:v>4600</x:v>
      </x:c>
      <x:c r="D17" s="18" t="s">
        <x:v>1304</x:v>
      </x:c>
    </x:row>
    <x:row r="18" ht="17">
      <x:c r="A18" s="4">
        <x:v>14</x:v>
      </x:c>
      <x:c r="B18" s="4">
        <x:v>1280</x:v>
      </x:c>
      <x:c r="C18" s="16" t="n">
        <x:f>SUM($B$5:B18)</x:f>
        <x:v>5880</x:v>
      </x:c>
      <x:c r="D18" s="18" t="s">
        <x:v>1305</x:v>
      </x:c>
    </x:row>
    <x:row r="19" ht="17">
      <x:c r="A19" s="4">
        <x:v>15</x:v>
      </x:c>
      <x:c r="B19" s="4">
        <x:v>1540</x:v>
      </x:c>
      <x:c r="C19" s="16" t="n">
        <x:f>SUM($B$5:B19)</x:f>
        <x:v>7420</x:v>
      </x:c>
      <x:c r="D19" s="18" t="s">
        <x:v>1306</x:v>
      </x:c>
    </x:row>
    <x:row r="20" ht="17">
      <x:c r="A20" s="4">
        <x:v>16</x:v>
      </x:c>
      <x:c r="B20" s="4">
        <x:v>1840</x:v>
      </x:c>
      <x:c r="C20" s="16" t="n">
        <x:f>SUM($B$5:B20)</x:f>
        <x:v>9260</x:v>
      </x:c>
      <x:c r="D20" s="18" t="s">
        <x:v>1307</x:v>
      </x:c>
    </x:row>
    <x:row r="21" ht="17">
      <x:c r="A21" s="4">
        <x:v>17</x:v>
      </x:c>
      <x:c r="B21" s="4">
        <x:v>2180</x:v>
      </x:c>
      <x:c r="C21" s="16" t="n">
        <x:f>SUM($B$5:B21)</x:f>
        <x:v>11440</x:v>
      </x:c>
      <x:c r="D21" s="18" t="s">
        <x:v>1308</x:v>
      </x:c>
    </x:row>
    <x:row r="22" ht="17">
      <x:c r="A22" s="4">
        <x:v>18</x:v>
      </x:c>
      <x:c r="B22" s="4">
        <x:v>2560</x:v>
      </x:c>
      <x:c r="C22" s="16" t="n">
        <x:f>SUM($B$5:B22)</x:f>
        <x:v>14000</x:v>
      </x:c>
      <x:c r="D22" s="18" t="s">
        <x:v>1309</x:v>
      </x:c>
    </x:row>
    <x:row r="23" ht="17">
      <x:c r="A23" s="4">
        <x:v>19</x:v>
      </x:c>
      <x:c r="B23" s="4">
        <x:v>2980</x:v>
      </x:c>
      <x:c r="C23" s="16" t="n">
        <x:f>SUM($B$5:B23)</x:f>
        <x:v>16980</x:v>
      </x:c>
      <x:c r="D23" s="18" t="s">
        <x:v>1310</x:v>
      </x:c>
    </x:row>
    <x:row r="24" ht="17">
      <x:c r="A24" s="4">
        <x:v>20</x:v>
      </x:c>
      <x:c r="B24" s="4">
        <x:v>3440</x:v>
      </x:c>
      <x:c r="C24" s="16" t="n">
        <x:f>SUM($B$5:B24)</x:f>
        <x:v>20420</x:v>
      </x:c>
      <x:c r="D24" s="18" t="s">
        <x:v>1311</x:v>
      </x:c>
    </x:row>
    <x:row r="25" ht="17">
      <x:c r="A25" s="4">
        <x:v>21</x:v>
      </x:c>
      <x:c r="B25" s="4">
        <x:v>3940</x:v>
      </x:c>
      <x:c r="C25" s="16" t="n">
        <x:f>SUM($B$5:B25)</x:f>
        <x:v>24360</x:v>
      </x:c>
      <x:c r="D25" s="18" t="s">
        <x:v>1312</x:v>
      </x:c>
    </x:row>
    <x:row r="26" ht="17">
      <x:c r="A26" s="4">
        <x:v>22</x:v>
      </x:c>
      <x:c r="B26" s="4">
        <x:v>4500</x:v>
      </x:c>
      <x:c r="C26" s="16" t="n">
        <x:f>SUM($B$5:B26)</x:f>
        <x:v>28860</x:v>
      </x:c>
      <x:c r="D26" s="18" t="s">
        <x:v>1313</x:v>
      </x:c>
    </x:row>
    <x:row r="27" ht="17">
      <x:c r="A27" s="4">
        <x:v>23</x:v>
      </x:c>
      <x:c r="B27" s="4">
        <x:v>5120</x:v>
      </x:c>
      <x:c r="C27" s="16" t="n">
        <x:f>SUM($B$5:B27)</x:f>
        <x:v>33980</x:v>
      </x:c>
      <x:c r="D27" s="18" t="s">
        <x:v>1314</x:v>
      </x:c>
    </x:row>
    <x:row r="28" ht="17">
      <x:c r="A28" s="4">
        <x:v>24</x:v>
      </x:c>
      <x:c r="B28" s="4">
        <x:v>5800</x:v>
      </x:c>
      <x:c r="C28" s="16" t="n">
        <x:f>SUM($B$5:B28)</x:f>
        <x:v>39780</x:v>
      </x:c>
      <x:c r="D28" s="18" t="s">
        <x:v>1315</x:v>
      </x:c>
    </x:row>
    <x:row r="31" ht="22" customHeight="1">
      <x:c r="A31" s="5" t="s">
        <x:v>1316</x:v>
      </x:c>
      <x:c r="B31" s="5"/>
      <x:c r="C31" s="5"/>
      <x:c r="D31" s="5"/>
      <x:c r="E31" s="5"/>
      <x:c r="F31" s="5"/>
      <x:c r="G31" s="5"/>
      <x:c r="H31" s="5"/>
    </x:row>
    <x:row r="32">
      <x:c r="A32" s="6" t="s">
        <x:v>1317</x:v>
      </x:c>
      <x:c r="B32" s="6"/>
      <x:c r="C32" s="6"/>
      <x:c r="D32" s="6"/>
      <x:c r="E32" s="6"/>
      <x:c r="F32" s="6"/>
      <x:c r="G32" s="6"/>
      <x:c r="H32" s="6"/>
    </x:row>
    <x:row r="33" ht="17">
      <x:c r="A33" s="3" t="s">
        <x:v>1318</x:v>
      </x:c>
      <x:c r="B33" s="3" t="s">
        <x:v>1319</x:v>
      </x:c>
      <x:c r="C33" s="3" t="s">
        <x:v>1320</x:v>
      </x:c>
      <x:c r="D33" s="3" t="s">
        <x:v>1321</x:v>
      </x:c>
      <x:c r="E33" s="3" t="s">
        <x:v>1322</x:v>
      </x:c>
      <x:c r="F33" s="3" t="s">
        <x:v>1323</x:v>
      </x:c>
      <x:c r="G33" s="3" t="s">
        <x:v>1324</x:v>
      </x:c>
      <x:c r="H33" s="3" t="s">
        <x:v>905</x:v>
      </x:c>
    </x:row>
    <x:row r="34" ht="17">
      <x:c r="A34" s="7" t="s">
        <x:v>1325</x:v>
      </x:c>
      <x:c r="B34" s="9">
        <x:v>1</x:v>
      </x:c>
      <x:c r="C34" s="7" t="s">
        <x:v>908</x:v>
      </x:c>
      <x:c r="D34" s="9">
        <x:v>2</x:v>
      </x:c>
      <x:c r="E34" s="7" t="s">
        <x:v>1326</x:v>
      </x:c>
      <x:c r="F34" s="9">
        <x:v>6</x:v>
      </x:c>
      <x:c r="G34" s="9">
        <x:v>120</x:v>
      </x:c>
      <x:c r="H34" s="7" t="s">
        <x:v>1327</x:v>
      </x:c>
    </x:row>
    <x:row r="35" ht="17">
      <x:c r="A35" s="10" t="s">
        <x:v>1328</x:v>
      </x:c>
      <x:c r="B35" s="11">
        <x:v>2</x:v>
      </x:c>
      <x:c r="C35" s="10" t="s">
        <x:v>1326</x:v>
      </x:c>
      <x:c r="D35" s="11">
        <x:v>3</x:v>
      </x:c>
      <x:c r="E35" s="10" t="s">
        <x:v>1329</x:v>
      </x:c>
      <x:c r="F35" s="11">
        <x:v>2</x:v>
      </x:c>
      <x:c r="G35" s="11">
        <x:v>0</x:v>
      </x:c>
      <x:c r="H35" s="10" t="s">
        <x:v>1330</x:v>
      </x:c>
    </x:row>
    <x:row r="36" ht="17">
      <x:c r="A36" s="10" t="s">
        <x:v>190</x:v>
      </x:c>
      <x:c r="B36" s="11">
        <x:v>3</x:v>
      </x:c>
      <x:c r="C36" s="10" t="s">
        <x:v>1331</x:v>
      </x:c>
      <x:c r="D36" s="11">
        <x:v>1</x:v>
      </x:c>
      <x:c r="E36" s="10" t="s">
        <x:v>1326</x:v>
      </x:c>
      <x:c r="F36" s="11">
        <x:v>15</x:v>
      </x:c>
      <x:c r="G36" s="11">
        <x:v>0</x:v>
      </x:c>
      <x:c r="H36" s="10" t="s">
        <x:v>1332</x:v>
      </x:c>
    </x:row>
    <x:row r="37" ht="17">
      <x:c r="A37" s="10" t="s">
        <x:v>1333</x:v>
      </x:c>
      <x:c r="B37" s="11">
        <x:v>1</x:v>
      </x:c>
      <x:c r="C37" s="10" t="s">
        <x:v>903</x:v>
      </x:c>
      <x:c r="D37" s="11">
        <x:v>10</x:v>
      </x:c>
      <x:c r="E37" s="10" t="s">
        <x:v>538</x:v>
      </x:c>
      <x:c r="F37" s="11">
        <x:v>0</x:v>
      </x:c>
      <x:c r="G37" s="11">
        <x:v>0</x:v>
      </x:c>
      <x:c r="H37" s="10" t="s">
        <x:v>1334</x:v>
      </x:c>
    </x:row>
    <x:row r="40" ht="22" customHeight="1">
      <x:c r="A40" s="5" t="s">
        <x:v>1335</x:v>
      </x:c>
      <x:c r="B40" s="5"/>
      <x:c r="C40" s="5"/>
    </x:row>
    <x:row r="41">
      <x:c r="A41" s="6" t="s">
        <x:v>1336</x:v>
      </x:c>
      <x:c r="B41" s="6"/>
      <x:c r="C41" s="6"/>
    </x:row>
    <x:row r="42" ht="34">
      <x:c r="A42" s="3" t="s">
        <x:v>391</x:v>
      </x:c>
      <x:c r="B42" s="3" t="s">
        <x:v>128</x:v>
      </x:c>
      <x:c r="C42" s="3" t="s">
        <x:v>1337</x:v>
      </x:c>
    </x:row>
    <x:row r="43" ht="17">
      <x:c r="A43" s="7" t="s">
        <x:v>1338</x:v>
      </x:c>
      <x:c r="B43" s="9">
        <x:v>0</x:v>
      </x:c>
      <x:c r="C43" s="9">
        <x:v>1</x:v>
      </x:c>
    </x:row>
    <x:row r="44" ht="17">
      <x:c r="A44" s="10" t="s">
        <x:v>1339</x:v>
      </x:c>
      <x:c r="B44" s="11">
        <x:v>120</x:v>
      </x:c>
      <x:c r="C44" s="11">
        <x:v>2</x:v>
      </x:c>
    </x:row>
    <x:row r="45" ht="17">
      <x:c r="A45" s="10" t="s">
        <x:v>1340</x:v>
      </x:c>
      <x:c r="B45" s="11">
        <x:v>450</x:v>
      </x:c>
      <x:c r="C45" s="11">
        <x:v>3</x:v>
      </x:c>
    </x:row>
    <x:row r="46" ht="17">
      <x:c r="A46" s="10" t="s">
        <x:v>1341</x:v>
      </x:c>
      <x:c r="B46" s="11">
        <x:v>1500</x:v>
      </x:c>
      <x:c r="C46" s="11">
        <x:v>4</x:v>
      </x:c>
    </x:row>
    <x:row r="49" ht="22" customHeight="1">
      <x:c r="A49" s="5" t="s">
        <x:v>1342</x:v>
      </x:c>
      <x:c r="B49" s="5"/>
      <x:c r="C49" s="5"/>
      <x:c r="D49" s="5"/>
    </x:row>
    <x:row r="50">
      <x:c r="A50" s="6" t="s">
        <x:v>1343</x:v>
      </x:c>
      <x:c r="B50" s="6"/>
      <x:c r="C50" s="6"/>
      <x:c r="D50" s="6"/>
    </x:row>
    <x:row r="51" ht="17">
      <x:c r="A51" s="3" t="s">
        <x:v>391</x:v>
      </x:c>
      <x:c r="B51" s="3" t="s">
        <x:v>1344</x:v>
      </x:c>
      <x:c r="C51" s="3" t="s">
        <x:v>904</x:v>
      </x:c>
      <x:c r="D51" s="3" t="s">
        <x:v>1345</x:v>
      </x:c>
    </x:row>
    <x:row r="52" ht="17">
      <x:c r="A52" s="7" t="s">
        <x:v>1338</x:v>
      </x:c>
      <x:c r="B52" s="9">
        <x:v>0</x:v>
      </x:c>
      <x:c r="C52" s="9">
        <x:v>0</x:v>
      </x:c>
      <x:c r="D52" s="7" t="s">
        <x:v>1346</x:v>
      </x:c>
    </x:row>
    <x:row r="53" ht="17">
      <x:c r="A53" s="10" t="s">
        <x:v>1347</x:v>
      </x:c>
      <x:c r="B53" s="11">
        <x:v>2</x:v>
      </x:c>
      <x:c r="C53" s="11">
        <x:v>1</x:v>
      </x:c>
      <x:c r="D53" s="10" t="s">
        <x:v>1348</x:v>
      </x:c>
    </x:row>
    <x:row r="54" ht="17">
      <x:c r="A54" s="10" t="s">
        <x:v>1349</x:v>
      </x:c>
      <x:c r="B54" s="11">
        <x:v>5</x:v>
      </x:c>
      <x:c r="C54" s="11">
        <x:v>3</x:v>
      </x:c>
      <x:c r="D54" s="10" t="s">
        <x:v>1350</x:v>
      </x:c>
    </x:row>
    <x:row r="55" ht="17">
      <x:c r="A55" s="10" t="s">
        <x:v>1351</x:v>
      </x:c>
      <x:c r="B55" s="11">
        <x:v>10</x:v>
      </x:c>
      <x:c r="C55" s="11">
        <x:v>8</x:v>
      </x:c>
      <x:c r="D55" s="10" t="s">
        <x:v>1352</x:v>
      </x:c>
    </x:row>
  </x:sheetData>
  <x:mergeCells>
    <x:mergeCell ref="A1:H1"/>
    <x:mergeCell ref="A2:H2"/>
    <x:mergeCell ref="A31:H31"/>
    <x:mergeCell ref="A32:H32"/>
    <x:mergeCell ref="A40:C40"/>
    <x:mergeCell ref="A41:C41"/>
    <x:mergeCell ref="A49:D49"/>
    <x:mergeCell ref="A50:D50"/>
  </x:mergeCells>
  <x:pageMargins left="0.7" right="0.7" top="0.75" bottom="0.75" header="0.3" footer="0.3"/>
  <x:tableParts count="4">
    <x:tablePart xmlns:r="http://schemas.openxmlformats.org/officeDocument/2006/relationships" r:id="Rcf53e71491324374"/>
    <x:tablePart xmlns:r="http://schemas.openxmlformats.org/officeDocument/2006/relationships" r:id="R0051753a6ff441db"/>
    <x:tablePart xmlns:r="http://schemas.openxmlformats.org/officeDocument/2006/relationships" r:id="R260b05414dfc4129"/>
    <x:tablePart xmlns:r="http://schemas.openxmlformats.org/officeDocument/2006/relationships" r:id="Re0f994cea13447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8" customWidth="1"/>
    <x:col min="2" max="2" width="18" customWidth="1"/>
    <x:col min="3" max="3" width="43" customWidth="1"/>
    <x:col min="4" max="5" width="18" customWidth="1"/>
    <x:col min="6" max="6" width="24" customWidth="1"/>
    <x:col min="7" max="7" width="46" customWidth="1"/>
    <x:col min="8" max="8" width="54" customWidth="1"/>
  </x:cols>
  <x:sheetData>
    <x:row r="1" ht="30" customHeight="1">
      <x:c r="A1" s="1" t="s">
        <x:v>1353</x:v>
      </x:c>
      <x:c r="B1" s="1"/>
      <x:c r="C1" s="1"/>
      <x:c r="D1" s="1"/>
      <x:c r="E1" s="1"/>
      <x:c r="F1" s="1"/>
      <x:c r="G1" s="1"/>
      <x:c r="H1" s="1"/>
    </x:row>
    <x:row r="2" ht="30" customHeight="1">
      <x:c r="A2" s="2" t="s">
        <x:v>1354</x:v>
      </x:c>
      <x:c r="B2" s="2"/>
      <x:c r="C2" s="2"/>
      <x:c r="D2" s="2"/>
      <x:c r="E2" s="2"/>
      <x:c r="F2" s="2"/>
      <x:c r="G2" s="2"/>
      <x:c r="H2" s="2"/>
    </x:row>
    <x:row r="4" ht="22" customHeight="1">
      <x:c r="A4" s="5" t="s">
        <x:v>1355</x:v>
      </x:c>
      <x:c r="B4" s="5"/>
      <x:c r="C4" s="5"/>
      <x:c r="D4" s="5"/>
      <x:c r="E4" s="5"/>
      <x:c r="F4" s="5"/>
      <x:c r="G4" s="5"/>
    </x:row>
    <x:row r="5">
      <x:c r="A5" s="6" t="s">
        <x:v>1356</x:v>
      </x:c>
      <x:c r="B5" s="6"/>
      <x:c r="C5" s="6"/>
      <x:c r="D5" s="6"/>
      <x:c r="E5" s="6"/>
      <x:c r="F5" s="6"/>
      <x:c r="G5" s="6"/>
    </x:row>
    <x:row r="6" ht="17">
      <x:c r="A6" s="3" t="s">
        <x:v>1357</x:v>
      </x:c>
      <x:c r="B6" s="3" t="s">
        <x:v>1358</x:v>
      </x:c>
      <x:c r="C6" s="3" t="s">
        <x:v>207</x:v>
      </x:c>
      <x:c r="D6" s="3" t="s">
        <x:v>1359</x:v>
      </x:c>
      <x:c r="E6" s="3" t="s">
        <x:v>1360</x:v>
      </x:c>
      <x:c r="F6" s="3" t="s">
        <x:v>1361</x:v>
      </x:c>
      <x:c r="G6" s="3" t="s">
        <x:v>79</x:v>
      </x:c>
    </x:row>
    <x:row r="7">
      <x:c r="A7" t="s">
        <x:v>128</x:v>
      </x:c>
      <x:c r="B7" t="s">
        <x:v>1362</x:v>
      </x:c>
      <x:c r="C7" t="s">
        <x:v>1363</x:v>
      </x:c>
      <x:c r="D7" s="4">
        <x:v>20</x:v>
      </x:c>
      <x:c r="E7" s="4">
        <x:v>30</x:v>
      </x:c>
      <x:c r="F7" t="s">
        <x:v>1364</x:v>
      </x:c>
      <x:c r="G7" t="s">
        <x:v>1365</x:v>
      </x:c>
    </x:row>
    <x:row r="8">
      <x:c r="A8" t="s">
        <x:v>128</x:v>
      </x:c>
      <x:c r="B8" t="s">
        <x:v>739</x:v>
      </x:c>
      <x:c r="C8" t="s">
        <x:v>1366</x:v>
      </x:c>
      <x:c r="D8" s="4">
        <x:v>60</x:v>
      </x:c>
      <x:c r="E8" s="4">
        <x:v>15</x:v>
      </x:c>
      <x:c r="F8" t="s">
        <x:v>1364</x:v>
      </x:c>
      <x:c r="G8" t="s">
        <x:v>1365</x:v>
      </x:c>
    </x:row>
    <x:row r="9">
      <x:c r="A9" t="s">
        <x:v>128</x:v>
      </x:c>
      <x:c r="B9" t="s">
        <x:v>1367</x:v>
      </x:c>
      <x:c r="C9" t="s">
        <x:v>1368</x:v>
      </x:c>
      <x:c r="D9" s="4">
        <x:v>160</x:v>
      </x:c>
      <x:c r="E9" s="4">
        <x:v>5</x:v>
      </x:c>
      <x:c r="F9" t="s">
        <x:v>1364</x:v>
      </x:c>
      <x:c r="G9" t="s">
        <x:v>1365</x:v>
      </x:c>
    </x:row>
    <x:row r="10">
      <x:c r="A10" t="s">
        <x:v>128</x:v>
      </x:c>
      <x:c r="B10" t="s">
        <x:v>1369</x:v>
      </x:c>
      <x:c r="C10" t="s">
        <x:v>1370</x:v>
      </x:c>
      <x:c r="D10" s="4">
        <x:v>400</x:v>
      </x:c>
      <x:c r="E10" s="4">
        <x:v>2</x:v>
      </x:c>
      <x:c r="F10" t="s">
        <x:v>1364</x:v>
      </x:c>
      <x:c r="G10" t="s">
        <x:v>1365</x:v>
      </x:c>
    </x:row>
    <x:row r="11">
      <x:c r="A11" t="s">
        <x:v>903</x:v>
      </x:c>
      <x:c r="B11" t="s">
        <x:v>1362</x:v>
      </x:c>
      <x:c r="C11" t="s">
        <x:v>1371</x:v>
      </x:c>
      <x:c r="D11" s="4">
        <x:v>12</x:v>
      </x:c>
      <x:c r="E11" s="4">
        <x:v>30</x:v>
      </x:c>
      <x:c r="F11" t="s">
        <x:v>1364</x:v>
      </x:c>
      <x:c r="G11" t="s">
        <x:v>1365</x:v>
      </x:c>
    </x:row>
    <x:row r="12">
      <x:c r="A12" t="s">
        <x:v>903</x:v>
      </x:c>
      <x:c r="B12" t="s">
        <x:v>739</x:v>
      </x:c>
      <x:c r="C12" t="s">
        <x:v>1372</x:v>
      </x:c>
      <x:c r="D12" s="4">
        <x:v>36</x:v>
      </x:c>
      <x:c r="E12" s="4">
        <x:v>15</x:v>
      </x:c>
      <x:c r="F12" t="s">
        <x:v>1364</x:v>
      </x:c>
      <x:c r="G12" t="s">
        <x:v>1365</x:v>
      </x:c>
    </x:row>
    <x:row r="13">
      <x:c r="A13" t="s">
        <x:v>903</x:v>
      </x:c>
      <x:c r="B13" t="s">
        <x:v>1367</x:v>
      </x:c>
      <x:c r="C13" t="s">
        <x:v>1373</x:v>
      </x:c>
      <x:c r="D13" s="4">
        <x:v>100</x:v>
      </x:c>
      <x:c r="E13" s="4">
        <x:v>5</x:v>
      </x:c>
      <x:c r="F13" t="s">
        <x:v>1364</x:v>
      </x:c>
      <x:c r="G13" t="s">
        <x:v>1365</x:v>
      </x:c>
    </x:row>
    <x:row r="14">
      <x:c r="A14" t="s">
        <x:v>903</x:v>
      </x:c>
      <x:c r="B14" t="s">
        <x:v>1369</x:v>
      </x:c>
      <x:c r="C14" t="s">
        <x:v>1374</x:v>
      </x:c>
      <x:c r="D14" s="4">
        <x:v>250</x:v>
      </x:c>
      <x:c r="E14" s="4">
        <x:v>2</x:v>
      </x:c>
      <x:c r="F14" t="s">
        <x:v>1364</x:v>
      </x:c>
      <x:c r="G14" t="s">
        <x:v>1365</x:v>
      </x:c>
    </x:row>
    <x:row r="15">
      <x:c r="A15" t="s">
        <x:v>121</x:v>
      </x:c>
      <x:c r="B15" t="s">
        <x:v>1362</x:v>
      </x:c>
      <x:c r="C15" t="s">
        <x:v>1375</x:v>
      </x:c>
      <x:c r="D15" s="4">
        <x:v>80</x:v>
      </x:c>
      <x:c r="E15" s="4">
        <x:v>30</x:v>
      </x:c>
      <x:c r="F15" t="s">
        <x:v>1376</x:v>
      </x:c>
      <x:c r="G15" t="s">
        <x:v>1365</x:v>
      </x:c>
    </x:row>
    <x:row r="16">
      <x:c r="A16" t="s">
        <x:v>121</x:v>
      </x:c>
      <x:c r="B16" t="s">
        <x:v>739</x:v>
      </x:c>
      <x:c r="C16" t="s">
        <x:v>1377</x:v>
      </x:c>
      <x:c r="D16" s="4">
        <x:v>240</x:v>
      </x:c>
      <x:c r="E16" s="4">
        <x:v>15</x:v>
      </x:c>
      <x:c r="F16" t="s">
        <x:v>1376</x:v>
      </x:c>
      <x:c r="G16" t="s">
        <x:v>1365</x:v>
      </x:c>
    </x:row>
    <x:row r="17">
      <x:c r="A17" t="s">
        <x:v>121</x:v>
      </x:c>
      <x:c r="B17" t="s">
        <x:v>1367</x:v>
      </x:c>
      <x:c r="C17" t="s">
        <x:v>1378</x:v>
      </x:c>
      <x:c r="D17" s="4">
        <x:v>650</x:v>
      </x:c>
      <x:c r="E17" s="4">
        <x:v>5</x:v>
      </x:c>
      <x:c r="F17" t="s">
        <x:v>1376</x:v>
      </x:c>
      <x:c r="G17" t="s">
        <x:v>1365</x:v>
      </x:c>
    </x:row>
    <x:row r="18">
      <x:c r="A18" t="s">
        <x:v>121</x:v>
      </x:c>
      <x:c r="B18" t="s">
        <x:v>1369</x:v>
      </x:c>
      <x:c r="C18" t="s">
        <x:v>1379</x:v>
      </x:c>
      <x:c r="D18" s="4">
        <x:v>1600</x:v>
      </x:c>
      <x:c r="E18" s="4">
        <x:v>2</x:v>
      </x:c>
      <x:c r="F18" t="s">
        <x:v>1376</x:v>
      </x:c>
      <x:c r="G18" t="s">
        <x:v>1365</x:v>
      </x:c>
    </x:row>
    <x:row r="19">
      <x:c r="A19" t="s">
        <x:v>1326</x:v>
      </x:c>
      <x:c r="B19" t="s">
        <x:v>1362</x:v>
      </x:c>
      <x:c r="C19" t="s">
        <x:v>1380</x:v>
      </x:c>
      <x:c r="D19" s="4">
        <x:v>8</x:v>
      </x:c>
      <x:c r="E19" s="4">
        <x:v>30</x:v>
      </x:c>
      <x:c r="F19" t="s">
        <x:v>1364</x:v>
      </x:c>
      <x:c r="G19" t="s">
        <x:v>1365</x:v>
      </x:c>
    </x:row>
    <x:row r="20">
      <x:c r="A20" t="s">
        <x:v>1326</x:v>
      </x:c>
      <x:c r="B20" t="s">
        <x:v>739</x:v>
      </x:c>
      <x:c r="C20" t="s">
        <x:v>1381</x:v>
      </x:c>
      <x:c r="D20" s="4">
        <x:v>24</x:v>
      </x:c>
      <x:c r="E20" s="4">
        <x:v>15</x:v>
      </x:c>
      <x:c r="F20" t="s">
        <x:v>1364</x:v>
      </x:c>
      <x:c r="G20" t="s">
        <x:v>1365</x:v>
      </x:c>
    </x:row>
    <x:row r="21">
      <x:c r="A21" t="s">
        <x:v>1326</x:v>
      </x:c>
      <x:c r="B21" t="s">
        <x:v>1367</x:v>
      </x:c>
      <x:c r="C21" t="s">
        <x:v>1382</x:v>
      </x:c>
      <x:c r="D21" s="4">
        <x:v>64</x:v>
      </x:c>
      <x:c r="E21" s="4">
        <x:v>5</x:v>
      </x:c>
      <x:c r="F21" t="s">
        <x:v>1364</x:v>
      </x:c>
      <x:c r="G21" t="s">
        <x:v>1365</x:v>
      </x:c>
    </x:row>
    <x:row r="22">
      <x:c r="A22" t="s">
        <x:v>1326</x:v>
      </x:c>
      <x:c r="B22" t="s">
        <x:v>1369</x:v>
      </x:c>
      <x:c r="C22" t="s">
        <x:v>1383</x:v>
      </x:c>
      <x:c r="D22" s="4">
        <x:v>160</x:v>
      </x:c>
      <x:c r="E22" s="4">
        <x:v>2</x:v>
      </x:c>
      <x:c r="F22" t="s">
        <x:v>1364</x:v>
      </x:c>
      <x:c r="G22" t="s">
        <x:v>1365</x:v>
      </x:c>
    </x:row>
    <x:row r="23">
      <x:c r="A23" t="s">
        <x:v>904</x:v>
      </x:c>
      <x:c r="B23" t="s">
        <x:v>1362</x:v>
      </x:c>
      <x:c r="C23" t="s">
        <x:v>1384</x:v>
      </x:c>
      <x:c r="D23" s="4">
        <x:v>1</x:v>
      </x:c>
      <x:c r="E23" s="4">
        <x:v>30</x:v>
      </x:c>
      <x:c r="F23" t="s">
        <x:v>1364</x:v>
      </x:c>
      <x:c r="G23" t="s">
        <x:v>1365</x:v>
      </x:c>
    </x:row>
    <x:row r="24">
      <x:c r="A24" t="s">
        <x:v>904</x:v>
      </x:c>
      <x:c r="B24" t="s">
        <x:v>739</x:v>
      </x:c>
      <x:c r="C24" t="s">
        <x:v>1385</x:v>
      </x:c>
      <x:c r="D24" s="4">
        <x:v>3</x:v>
      </x:c>
      <x:c r="E24" s="4">
        <x:v>15</x:v>
      </x:c>
      <x:c r="F24" t="s">
        <x:v>1364</x:v>
      </x:c>
      <x:c r="G24" t="s">
        <x:v>1365</x:v>
      </x:c>
    </x:row>
    <x:row r="25">
      <x:c r="A25" t="s">
        <x:v>904</x:v>
      </x:c>
      <x:c r="B25" t="s">
        <x:v>1367</x:v>
      </x:c>
      <x:c r="C25" t="s">
        <x:v>1386</x:v>
      </x:c>
      <x:c r="D25" s="4">
        <x:v>8</x:v>
      </x:c>
      <x:c r="E25" s="4">
        <x:v>5</x:v>
      </x:c>
      <x:c r="F25" t="s">
        <x:v>1364</x:v>
      </x:c>
      <x:c r="G25" t="s">
        <x:v>1365</x:v>
      </x:c>
    </x:row>
    <x:row r="26">
      <x:c r="A26" t="s">
        <x:v>904</x:v>
      </x:c>
      <x:c r="B26" t="s">
        <x:v>1369</x:v>
      </x:c>
      <x:c r="C26" t="s">
        <x:v>1387</x:v>
      </x:c>
      <x:c r="D26" s="4">
        <x:v>20</x:v>
      </x:c>
      <x:c r="E26" s="4">
        <x:v>2</x:v>
      </x:c>
      <x:c r="F26" t="s">
        <x:v>1364</x:v>
      </x:c>
      <x:c r="G26" t="s">
        <x:v>1365</x:v>
      </x:c>
    </x:row>
    <x:row r="29" ht="22" customHeight="1">
      <x:c r="A29" s="5" t="s">
        <x:v>1388</x:v>
      </x:c>
      <x:c r="B29" s="5"/>
      <x:c r="C29" s="5"/>
      <x:c r="D29" s="5"/>
    </x:row>
    <x:row r="30">
      <x:c r="A30" s="6" t="s">
        <x:v>1389</x:v>
      </x:c>
      <x:c r="B30" s="6"/>
      <x:c r="C30" s="6"/>
      <x:c r="D30" s="6"/>
    </x:row>
    <x:row r="31" ht="17">
      <x:c r="A31" s="3" t="s">
        <x:v>1031</x:v>
      </x:c>
      <x:c r="B31" s="3" t="s">
        <x:v>1390</x:v>
      </x:c>
      <x:c r="C31" s="3" t="s">
        <x:v>1391</x:v>
      </x:c>
      <x:c r="D31" s="3" t="s">
        <x:v>1392</x:v>
      </x:c>
    </x:row>
    <x:row r="32" ht="34">
      <x:c r="A32" s="7" t="s">
        <x:v>1393</x:v>
      </x:c>
      <x:c r="B32" s="7" t="s">
        <x:v>1394</x:v>
      </x:c>
      <x:c r="C32" s="7" t="s">
        <x:v>1395</x:v>
      </x:c>
      <x:c r="D32" s="7" t="s">
        <x:v>1396</x:v>
      </x:c>
    </x:row>
    <x:row r="33" ht="34">
      <x:c r="A33" s="10" t="s">
        <x:v>1397</x:v>
      </x:c>
      <x:c r="B33" s="10" t="s">
        <x:v>1398</x:v>
      </x:c>
      <x:c r="C33" s="10" t="s">
        <x:v>1399</x:v>
      </x:c>
      <x:c r="D33" s="10" t="s">
        <x:v>1400</x:v>
      </x:c>
    </x:row>
    <x:row r="34" ht="51">
      <x:c r="A34" s="10" t="s">
        <x:v>1401</x:v>
      </x:c>
      <x:c r="B34" s="10" t="s">
        <x:v>1402</x:v>
      </x:c>
      <x:c r="C34" s="10" t="s">
        <x:v>1403</x:v>
      </x:c>
      <x:c r="D34" s="10" t="s">
        <x:v>1404</x:v>
      </x:c>
    </x:row>
    <x:row r="35" ht="34">
      <x:c r="A35" s="10" t="s">
        <x:v>1405</x:v>
      </x:c>
      <x:c r="B35" s="10" t="s">
        <x:v>1406</x:v>
      </x:c>
      <x:c r="C35" s="10" t="s">
        <x:v>1403</x:v>
      </x:c>
      <x:c r="D35" s="10" t="s">
        <x:v>1407</x:v>
      </x:c>
    </x:row>
    <x:row r="36" ht="51">
      <x:c r="A36" s="10" t="s">
        <x:v>1408</x:v>
      </x:c>
      <x:c r="B36" s="10" t="s">
        <x:v>1409</x:v>
      </x:c>
      <x:c r="C36" s="10" t="s">
        <x:v>1410</x:v>
      </x:c>
      <x:c r="D36" s="10" t="s">
        <x:v>1411</x:v>
      </x:c>
    </x:row>
    <x:row r="37" ht="51">
      <x:c r="A37" s="10" t="s">
        <x:v>1412</x:v>
      </x:c>
      <x:c r="B37" s="10" t="s">
        <x:v>1413</x:v>
      </x:c>
      <x:c r="C37" s="10" t="s">
        <x:v>1414</x:v>
      </x:c>
      <x:c r="D37" s="10" t="s">
        <x:v>1415</x:v>
      </x:c>
    </x:row>
    <x:row r="38" ht="51">
      <x:c r="A38" s="10" t="s">
        <x:v>1416</x:v>
      </x:c>
      <x:c r="B38" s="10" t="s">
        <x:v>1417</x:v>
      </x:c>
      <x:c r="C38" s="10" t="s">
        <x:v>1418</x:v>
      </x:c>
      <x:c r="D38" s="10" t="s">
        <x:v>1419</x:v>
      </x:c>
    </x:row>
    <x:row r="41" ht="22" customHeight="1">
      <x:c r="A41" s="5" t="s">
        <x:v>1420</x:v>
      </x:c>
      <x:c r="B41" s="5"/>
      <x:c r="C41" s="5"/>
      <x:c r="D41" s="5"/>
    </x:row>
    <x:row r="42">
      <x:c r="A42" s="6" t="s">
        <x:v>1421</x:v>
      </x:c>
      <x:c r="B42" s="6"/>
      <x:c r="C42" s="6"/>
      <x:c r="D42" s="6"/>
    </x:row>
    <x:row r="43" ht="17">
      <x:c r="A43" s="3" t="s">
        <x:v>1032</x:v>
      </x:c>
      <x:c r="B43" s="3" t="s">
        <x:v>1422</x:v>
      </x:c>
      <x:c r="C43" s="3" t="s">
        <x:v>1423</x:v>
      </x:c>
      <x:c r="D43" s="3" t="s">
        <x:v>1424</x:v>
      </x:c>
    </x:row>
    <x:row r="44" ht="34">
      <x:c r="A44" s="7" t="s">
        <x:v>121</x:v>
      </x:c>
      <x:c r="B44" s="7" t="s">
        <x:v>1425</x:v>
      </x:c>
      <x:c r="C44" s="7" t="s">
        <x:v>1426</x:v>
      </x:c>
      <x:c r="D44" s="7" t="s">
        <x:v>1427</x:v>
      </x:c>
    </x:row>
    <x:row r="45" ht="34">
      <x:c r="A45" s="10" t="s">
        <x:v>118</x:v>
      </x:c>
      <x:c r="B45" s="10" t="s">
        <x:v>1428</x:v>
      </x:c>
      <x:c r="C45" s="10" t="s">
        <x:v>1429</x:v>
      </x:c>
      <x:c r="D45" s="10" t="s">
        <x:v>1430</x:v>
      </x:c>
    </x:row>
    <x:row r="48" ht="22" customHeight="1">
      <x:c r="A48" s="5" t="s">
        <x:v>1431</x:v>
      </x:c>
      <x:c r="B48" s="5"/>
      <x:c r="C48" s="5"/>
      <x:c r="D48" s="5"/>
      <x:c r="E48" s="5"/>
    </x:row>
    <x:row r="49">
      <x:c r="A49" s="6" t="s">
        <x:v>1432</x:v>
      </x:c>
      <x:c r="B49" s="6"/>
      <x:c r="C49" s="6"/>
      <x:c r="D49" s="6"/>
      <x:c r="E49" s="6"/>
    </x:row>
    <x:row r="50" ht="17">
      <x:c r="A50" s="3" t="s">
        <x:v>1433</x:v>
      </x:c>
      <x:c r="B50" s="3" t="s">
        <x:v>1434</x:v>
      </x:c>
      <x:c r="C50" s="3" t="s">
        <x:v>1422</x:v>
      </x:c>
      <x:c r="D50" s="3" t="s">
        <x:v>1435</x:v>
      </x:c>
      <x:c r="E50" s="3" t="s">
        <x:v>1436</x:v>
      </x:c>
    </x:row>
    <x:row r="51" ht="51">
      <x:c r="A51" s="7" t="s">
        <x:v>1329</x:v>
      </x:c>
      <x:c r="B51" s="7" t="s">
        <x:v>399</x:v>
      </x:c>
      <x:c r="C51" s="7" t="s">
        <x:v>1437</x:v>
      </x:c>
      <x:c r="D51" s="7" t="s">
        <x:v>1438</x:v>
      </x:c>
      <x:c r="E51" s="7" t="s">
        <x:v>1439</x:v>
      </x:c>
    </x:row>
    <x:row r="52" ht="34">
      <x:c r="A52" s="10" t="s">
        <x:v>1344</x:v>
      </x:c>
      <x:c r="B52" s="10" t="s">
        <x:v>407</x:v>
      </x:c>
      <x:c r="C52" s="10" t="s">
        <x:v>1440</x:v>
      </x:c>
      <x:c r="D52" s="10" t="s">
        <x:v>1441</x:v>
      </x:c>
      <x:c r="E52" s="10" t="s">
        <x:v>1442</x:v>
      </x:c>
    </x:row>
    <x:row r="53" ht="51">
      <x:c r="A53" s="10" t="s">
        <x:v>1443</x:v>
      </x:c>
      <x:c r="B53" s="10" t="s">
        <x:v>407</x:v>
      </x:c>
      <x:c r="C53" s="10" t="s">
        <x:v>1444</x:v>
      </x:c>
      <x:c r="D53" s="10" t="s">
        <x:v>1445</x:v>
      </x:c>
      <x:c r="E53" s="10" t="s">
        <x:v>1446</x:v>
      </x:c>
    </x:row>
    <x:row r="54" ht="34">
      <x:c r="A54" s="10" t="s">
        <x:v>1331</x:v>
      </x:c>
      <x:c r="B54" s="10" t="s">
        <x:v>415</x:v>
      </x:c>
      <x:c r="C54" s="10" t="s">
        <x:v>1447</x:v>
      </x:c>
      <x:c r="D54" s="10" t="s">
        <x:v>1448</x:v>
      </x:c>
      <x:c r="E54" s="10" t="s">
        <x:v>1449</x:v>
      </x:c>
    </x:row>
    <x:row r="55" ht="34">
      <x:c r="A55" s="10" t="s">
        <x:v>908</x:v>
      </x:c>
      <x:c r="B55" s="10" t="s">
        <x:v>415</x:v>
      </x:c>
      <x:c r="C55" s="10" t="s">
        <x:v>1450</x:v>
      </x:c>
      <x:c r="D55" s="10" t="s">
        <x:v>1451</x:v>
      </x:c>
      <x:c r="E55" s="10" t="s">
        <x:v>1452</x:v>
      </x:c>
    </x:row>
    <x:row r="58" ht="22" customHeight="1">
      <x:c r="A58" s="5" t="s">
        <x:v>1453</x:v>
      </x:c>
      <x:c r="B58" s="5"/>
      <x:c r="C58" s="5"/>
    </x:row>
    <x:row r="59">
      <x:c r="A59" s="6" t="s">
        <x:v>1454</x:v>
      </x:c>
      <x:c r="B59" s="6"/>
      <x:c r="C59" s="6"/>
    </x:row>
    <x:row r="60" ht="17">
      <x:c r="A60" s="3" t="s">
        <x:v>1408</x:v>
      </x:c>
      <x:c r="B60" s="3" t="s">
        <x:v>1455</x:v>
      </x:c>
      <x:c r="C60" s="3" t="s">
        <x:v>1456</x:v>
      </x:c>
    </x:row>
    <x:row r="61" ht="17">
      <x:c r="A61" s="7" t="s">
        <x:v>1328</x:v>
      </x:c>
      <x:c r="B61" s="7" t="s">
        <x:v>1457</x:v>
      </x:c>
      <x:c r="C61" s="7" t="s">
        <x:v>1458</x:v>
      </x:c>
    </x:row>
    <x:row r="62" ht="34">
      <x:c r="A62" s="10" t="s">
        <x:v>1333</x:v>
      </x:c>
      <x:c r="B62" s="10" t="s">
        <x:v>903</x:v>
      </x:c>
      <x:c r="C62" s="10" t="s">
        <x:v>1459</x:v>
      </x:c>
    </x:row>
    <x:row r="63" ht="17">
      <x:c r="A63" s="10" t="s">
        <x:v>1460</x:v>
      </x:c>
      <x:c r="B63" s="10" t="s">
        <x:v>128</x:v>
      </x:c>
      <x:c r="C63" s="10" t="s">
        <x:v>1461</x:v>
      </x:c>
    </x:row>
    <x:row r="64" ht="17">
      <x:c r="A64" s="10" t="s">
        <x:v>1462</x:v>
      </x:c>
      <x:c r="B64" s="10" t="s">
        <x:v>1463</x:v>
      </x:c>
      <x:c r="C64" s="10" t="s">
        <x:v>1461</x:v>
      </x:c>
    </x:row>
    <x:row r="65" ht="17">
      <x:c r="A65" s="10" t="s">
        <x:v>190</x:v>
      </x:c>
      <x:c r="B65" s="10" t="s">
        <x:v>1464</x:v>
      </x:c>
      <x:c r="C65" s="10" t="s">
        <x:v>1465</x:v>
      </x:c>
    </x:row>
    <x:row r="66" ht="34">
      <x:c r="A66" s="10" t="s">
        <x:v>1466</x:v>
      </x:c>
      <x:c r="B66" s="10" t="s">
        <x:v>1467</x:v>
      </x:c>
      <x:c r="C66" s="10" t="s">
        <x:v>1468</x:v>
      </x:c>
    </x:row>
    <x:row r="67" ht="34">
      <x:c r="A67" s="10" t="s">
        <x:v>1469</x:v>
      </x:c>
      <x:c r="B67" s="10" t="s">
        <x:v>1470</x:v>
      </x:c>
      <x:c r="C67" s="10" t="s">
        <x:v>1471</x:v>
      </x:c>
    </x:row>
    <x:row r="68" ht="34">
      <x:c r="A68" s="10" t="s">
        <x:v>1472</x:v>
      </x:c>
      <x:c r="B68" s="10" t="s">
        <x:v>1473</x:v>
      </x:c>
      <x:c r="C68" s="10" t="s">
        <x:v>1474</x:v>
      </x:c>
    </x:row>
    <x:row r="69" ht="34">
      <x:c r="A69" s="10" t="s">
        <x:v>1475</x:v>
      </x:c>
      <x:c r="B69" s="10" t="s">
        <x:v>1476</x:v>
      </x:c>
      <x:c r="C69" s="10" t="s">
        <x:v>1477</x:v>
      </x:c>
    </x:row>
    <x:row r="70" ht="34">
      <x:c r="A70" s="10" t="s">
        <x:v>1478</x:v>
      </x:c>
      <x:c r="B70" s="10" t="s">
        <x:v>1479</x:v>
      </x:c>
      <x:c r="C70" s="10" t="s">
        <x:v>1480</x:v>
      </x:c>
    </x:row>
    <x:row r="73" ht="22" customHeight="1">
      <x:c r="A73" s="5" t="s">
        <x:v>1481</x:v>
      </x:c>
      <x:c r="B73" s="5"/>
      <x:c r="C73" s="5"/>
    </x:row>
    <x:row r="74">
      <x:c r="A74" s="6" t="s">
        <x:v>1482</x:v>
      </x:c>
      <x:c r="B74" s="6"/>
      <x:c r="C74" s="6"/>
    </x:row>
    <x:row r="75" ht="17">
      <x:c r="A75" s="3" t="s">
        <x:v>1483</x:v>
      </x:c>
      <x:c r="B75" s="3" t="s">
        <x:v>1484</x:v>
      </x:c>
      <x:c r="C75" s="3" t="s">
        <x:v>1485</x:v>
      </x:c>
    </x:row>
    <x:row r="76" ht="17">
      <x:c r="A76" s="7" t="s">
        <x:v>1362</x:v>
      </x:c>
      <x:c r="B76" s="7" t="s">
        <x:v>1486</x:v>
      </x:c>
      <x:c r="C76" s="7" t="s">
        <x:v>1487</x:v>
      </x:c>
    </x:row>
    <x:row r="77" ht="17">
      <x:c r="A77" s="10" t="s">
        <x:v>739</x:v>
      </x:c>
      <x:c r="B77" s="10" t="s">
        <x:v>1488</x:v>
      </x:c>
      <x:c r="C77" s="10" t="s">
        <x:v>1489</x:v>
      </x:c>
    </x:row>
    <x:row r="78" ht="17">
      <x:c r="A78" s="10" t="s">
        <x:v>1367</x:v>
      </x:c>
      <x:c r="B78" s="10" t="s">
        <x:v>1490</x:v>
      </x:c>
      <x:c r="C78" s="10" t="s">
        <x:v>1491</x:v>
      </x:c>
    </x:row>
    <x:row r="79" ht="17">
      <x:c r="A79" s="10" t="s">
        <x:v>1369</x:v>
      </x:c>
      <x:c r="B79" s="10" t="s">
        <x:v>1492</x:v>
      </x:c>
      <x:c r="C79" s="10" t="s">
        <x:v>1493</x:v>
      </x:c>
    </x:row>
    <x:row r="82" ht="22" customHeight="1">
      <x:c r="A82" s="5" t="s">
        <x:v>1494</x:v>
      </x:c>
      <x:c r="B82" s="5"/>
      <x:c r="C82" s="5"/>
      <x:c r="D82" s="5"/>
      <x:c r="E82" s="5"/>
    </x:row>
    <x:row r="83">
      <x:c r="A83" s="6" t="s">
        <x:v>1495</x:v>
      </x:c>
      <x:c r="B83" s="6"/>
      <x:c r="C83" s="6"/>
      <x:c r="D83" s="6"/>
      <x:c r="E83" s="6"/>
    </x:row>
    <x:row r="84" ht="17">
      <x:c r="A84" s="3" t="s">
        <x:v>1496</x:v>
      </x:c>
      <x:c r="B84" s="3" t="s">
        <x:v>1497</x:v>
      </x:c>
      <x:c r="C84" s="3" t="s">
        <x:v>1498</x:v>
      </x:c>
      <x:c r="D84" s="3" t="s">
        <x:v>1499</x:v>
      </x:c>
      <x:c r="E84" s="3" t="s">
        <x:v>1500</x:v>
      </x:c>
    </x:row>
    <x:row r="85" ht="34">
      <x:c r="A85" s="7" t="s">
        <x:v>1501</x:v>
      </x:c>
      <x:c r="B85" s="7" t="s">
        <x:v>1502</x:v>
      </x:c>
      <x:c r="C85" s="9">
        <x:v>12</x:v>
      </x:c>
      <x:c r="D85" s="9">
        <x:v>1</x:v>
      </x:c>
      <x:c r="E85" s="9">
        <x:v>30</x:v>
      </x:c>
    </x:row>
    <x:row r="86" ht="34">
      <x:c r="A86" s="10" t="s">
        <x:v>1503</x:v>
      </x:c>
      <x:c r="B86" s="10" t="s">
        <x:v>1504</x:v>
      </x:c>
      <x:c r="C86" s="11">
        <x:v>20</x:v>
      </x:c>
      <x:c r="D86" s="11">
        <x:v>2</x:v>
      </x:c>
      <x:c r="E86" s="11">
        <x:v>30</x:v>
      </x:c>
    </x:row>
    <x:row r="87" ht="34">
      <x:c r="A87" s="10" t="s">
        <x:v>1505</x:v>
      </x:c>
      <x:c r="B87" s="10" t="s">
        <x:v>1506</x:v>
      </x:c>
      <x:c r="C87" s="11">
        <x:v>36</x:v>
      </x:c>
      <x:c r="D87" s="11">
        <x:v>3</x:v>
      </x:c>
      <x:c r="E87" s="11">
        <x:v>20</x:v>
      </x:c>
    </x:row>
    <x:row r="88" ht="34">
      <x:c r="A88" s="10" t="s">
        <x:v>1507</x:v>
      </x:c>
      <x:c r="B88" s="10" t="s">
        <x:v>1508</x:v>
      </x:c>
      <x:c r="C88" s="11">
        <x:v>70</x:v>
      </x:c>
      <x:c r="D88" s="11">
        <x:v>5</x:v>
      </x:c>
      <x:c r="E88" s="11">
        <x:v>10</x:v>
      </x:c>
    </x:row>
    <x:row r="91" ht="22" customHeight="1">
      <x:c r="A91" s="5" t="s">
        <x:v>1509</x:v>
      </x:c>
      <x:c r="B91" s="5"/>
      <x:c r="C91" s="5"/>
    </x:row>
    <x:row r="92">
      <x:c r="A92" s="6" t="s">
        <x:v>1510</x:v>
      </x:c>
      <x:c r="B92" s="6"/>
      <x:c r="C92" s="6"/>
    </x:row>
    <x:row r="93" ht="17">
      <x:c r="A93" s="3" t="s">
        <x:v>502</x:v>
      </x:c>
      <x:c r="B93" s="3" t="s">
        <x:v>1511</x:v>
      </x:c>
      <x:c r="C93" s="3" t="s">
        <x:v>1512</x:v>
      </x:c>
    </x:row>
    <x:row r="94" ht="51">
      <x:c r="A94" s="7" t="s">
        <x:v>1513</x:v>
      </x:c>
      <x:c r="B94" s="7" t="s">
        <x:v>1514</x:v>
      </x:c>
      <x:c r="C94" s="7" t="s">
        <x:v>1515</x:v>
      </x:c>
    </x:row>
    <x:row r="95" ht="68">
      <x:c r="A95" s="10" t="s">
        <x:v>1516</x:v>
      </x:c>
      <x:c r="B95" s="10" t="s">
        <x:v>1517</x:v>
      </x:c>
      <x:c r="C95" s="10" t="s">
        <x:v>1518</x:v>
      </x:c>
    </x:row>
    <x:row r="96" ht="68">
      <x:c r="A96" s="10" t="s">
        <x:v>1519</x:v>
      </x:c>
      <x:c r="B96" s="10" t="s">
        <x:v>1520</x:v>
      </x:c>
      <x:c r="C96" s="10" t="s">
        <x:v>1521</x:v>
      </x:c>
    </x:row>
    <x:row r="97" ht="84">
      <x:c r="A97" s="10" t="s">
        <x:v>1522</x:v>
      </x:c>
      <x:c r="B97" s="10" t="s">
        <x:v>1523</x:v>
      </x:c>
      <x:c r="C97" s="10" t="s">
        <x:v>1524</x:v>
      </x:c>
    </x:row>
    <x:row r="100" ht="22" customHeight="1">
      <x:c r="A100" s="5" t="s">
        <x:v>1509</x:v>
      </x:c>
      <x:c r="B100" s="5"/>
      <x:c r="C100" s="5"/>
      <x:c r="D100" s="5"/>
    </x:row>
    <x:row r="101">
      <x:c r="A101" s="6" t="s">
        <x:v>1525</x:v>
      </x:c>
      <x:c r="B101" s="6"/>
      <x:c r="C101" s="6"/>
      <x:c r="D101" s="6"/>
    </x:row>
    <x:row r="102" ht="17">
      <x:c r="A102" s="3" t="s">
        <x:v>502</x:v>
      </x:c>
      <x:c r="B102" s="3" t="s">
        <x:v>1526</x:v>
      </x:c>
      <x:c r="C102" s="3" t="s">
        <x:v>1527</x:v>
      </x:c>
      <x:c r="D102" s="3" t="s">
        <x:v>1528</x:v>
      </x:c>
    </x:row>
    <x:row r="103" ht="17">
      <x:c r="A103" s="7" t="s">
        <x:v>399</x:v>
      </x:c>
      <x:c r="B103" s="7" t="s">
        <x:v>128</x:v>
      </x:c>
      <x:c r="C103" s="7" t="s">
        <x:v>1529</x:v>
      </x:c>
      <x:c r="D103" s="7" t="s">
        <x:v>1530</x:v>
      </x:c>
    </x:row>
    <x:row r="104" ht="17">
      <x:c r="A104" s="10" t="s">
        <x:v>399</x:v>
      </x:c>
      <x:c r="B104" s="10" t="s">
        <x:v>903</x:v>
      </x:c>
      <x:c r="C104" s="10" t="s">
        <x:v>1531</x:v>
      </x:c>
      <x:c r="D104" s="10" t="s">
        <x:v>1532</x:v>
      </x:c>
    </x:row>
    <x:row r="105" ht="17">
      <x:c r="A105" s="10" t="s">
        <x:v>399</x:v>
      </x:c>
      <x:c r="B105" s="10" t="s">
        <x:v>1326</x:v>
      </x:c>
      <x:c r="C105" s="10" t="s">
        <x:v>1533</x:v>
      </x:c>
      <x:c r="D105" s="10" t="s">
        <x:v>1534</x:v>
      </x:c>
    </x:row>
    <x:row r="106" ht="17">
      <x:c r="A106" s="10" t="s">
        <x:v>407</x:v>
      </x:c>
      <x:c r="B106" s="10" t="s">
        <x:v>128</x:v>
      </x:c>
      <x:c r="C106" s="10" t="s">
        <x:v>1535</x:v>
      </x:c>
      <x:c r="D106" s="10" t="s">
        <x:v>1536</x:v>
      </x:c>
    </x:row>
    <x:row r="107" ht="17">
      <x:c r="A107" s="10" t="s">
        <x:v>407</x:v>
      </x:c>
      <x:c r="B107" s="10" t="s">
        <x:v>903</x:v>
      </x:c>
      <x:c r="C107" s="10" t="s">
        <x:v>1537</x:v>
      </x:c>
      <x:c r="D107" s="10" t="s">
        <x:v>1538</x:v>
      </x:c>
    </x:row>
    <x:row r="108" ht="17">
      <x:c r="A108" s="10" t="s">
        <x:v>407</x:v>
      </x:c>
      <x:c r="B108" s="10" t="s">
        <x:v>1326</x:v>
      </x:c>
      <x:c r="C108" s="10" t="s">
        <x:v>1539</x:v>
      </x:c>
      <x:c r="D108" s="10" t="s">
        <x:v>1533</x:v>
      </x:c>
    </x:row>
    <x:row r="109" ht="17">
      <x:c r="A109" s="10" t="s">
        <x:v>415</x:v>
      </x:c>
      <x:c r="B109" s="10" t="s">
        <x:v>903</x:v>
      </x:c>
      <x:c r="C109" s="10" t="s">
        <x:v>1540</x:v>
      </x:c>
      <x:c r="D109" s="10" t="s">
        <x:v>1541</x:v>
      </x:c>
    </x:row>
    <x:row r="110" ht="17">
      <x:c r="A110" s="10" t="s">
        <x:v>415</x:v>
      </x:c>
      <x:c r="B110" s="10" t="s">
        <x:v>1326</x:v>
      </x:c>
      <x:c r="C110" s="10" t="s">
        <x:v>1542</x:v>
      </x:c>
      <x:c r="D110" s="10" t="s">
        <x:v>1539</x:v>
      </x:c>
    </x:row>
    <x:row r="111" ht="17">
      <x:c r="A111" s="10" t="s">
        <x:v>415</x:v>
      </x:c>
      <x:c r="B111" s="10" t="s">
        <x:v>904</x:v>
      </x:c>
      <x:c r="C111" s="10" t="s">
        <x:v>1534</x:v>
      </x:c>
      <x:c r="D111" s="11">
        <x:v>1</x:v>
      </x:c>
    </x:row>
    <x:row r="112" ht="17">
      <x:c r="A112" s="10" t="s">
        <x:v>423</x:v>
      </x:c>
      <x:c r="B112" s="10" t="s">
        <x:v>1326</x:v>
      </x:c>
      <x:c r="C112" s="10" t="s">
        <x:v>1543</x:v>
      </x:c>
      <x:c r="D112" s="10" t="s">
        <x:v>1544</x:v>
      </x:c>
    </x:row>
    <x:row r="113" ht="17">
      <x:c r="A113" s="10" t="s">
        <x:v>423</x:v>
      </x:c>
      <x:c r="B113" s="10" t="s">
        <x:v>904</x:v>
      </x:c>
      <x:c r="C113" s="10" t="s">
        <x:v>1533</x:v>
      </x:c>
      <x:c r="D113" s="10" t="s">
        <x:v>1534</x:v>
      </x:c>
    </x:row>
    <x:row r="116" ht="22" customHeight="1">
      <x:c r="A116" s="5" t="s">
        <x:v>1509</x:v>
      </x:c>
      <x:c r="B116" s="5"/>
      <x:c r="C116" s="5"/>
      <x:c r="D116" s="5"/>
    </x:row>
    <x:row r="117">
      <x:c r="A117" s="6" t="s">
        <x:v>1545</x:v>
      </x:c>
      <x:c r="B117" s="6"/>
      <x:c r="C117" s="6"/>
      <x:c r="D117" s="6"/>
    </x:row>
    <x:row r="118" ht="17">
      <x:c r="A118" s="3" t="s">
        <x:v>502</x:v>
      </x:c>
      <x:c r="B118" s="3" t="s">
        <x:v>1546</x:v>
      </x:c>
      <x:c r="C118" s="3" t="s">
        <x:v>1527</x:v>
      </x:c>
      <x:c r="D118" s="3" t="s">
        <x:v>1528</x:v>
      </x:c>
    </x:row>
    <x:row r="119" ht="17">
      <x:c r="A119" s="7" t="s">
        <x:v>399</x:v>
      </x:c>
      <x:c r="B119" s="7" t="s">
        <x:v>1329</x:v>
      </x:c>
      <x:c r="C119" s="9">
        <x:v>2</x:v>
      </x:c>
      <x:c r="D119" s="9">
        <x:v>1</x:v>
      </x:c>
    </x:row>
    <x:row r="120" ht="17">
      <x:c r="A120" s="10" t="s">
        <x:v>407</x:v>
      </x:c>
      <x:c r="B120" s="10" t="s">
        <x:v>1344</x:v>
      </x:c>
      <x:c r="C120" s="11">
        <x:v>2</x:v>
      </x:c>
      <x:c r="D120" s="11">
        <x:v>1</x:v>
      </x:c>
    </x:row>
    <x:row r="121" ht="34">
      <x:c r="A121" s="10" t="s">
        <x:v>407</x:v>
      </x:c>
      <x:c r="B121" s="10" t="s">
        <x:v>1443</x:v>
      </x:c>
      <x:c r="C121" s="10" t="s">
        <x:v>1534</x:v>
      </x:c>
      <x:c r="D121" s="10" t="s">
        <x:v>1547</x:v>
      </x:c>
    </x:row>
    <x:row r="122" ht="17">
      <x:c r="A122" s="10" t="s">
        <x:v>415</x:v>
      </x:c>
      <x:c r="B122" s="10" t="s">
        <x:v>1331</x:v>
      </x:c>
      <x:c r="C122" s="11">
        <x:v>2</x:v>
      </x:c>
      <x:c r="D122" s="11">
        <x:v>1</x:v>
      </x:c>
    </x:row>
    <x:row r="123" ht="17">
      <x:c r="A123" s="10" t="s">
        <x:v>415</x:v>
      </x:c>
      <x:c r="B123" s="10" t="s">
        <x:v>908</x:v>
      </x:c>
      <x:c r="C123" s="10" t="s">
        <x:v>1548</x:v>
      </x:c>
      <x:c r="D123" s="10" t="s">
        <x:v>1534</x:v>
      </x:c>
    </x:row>
    <x:row r="124" ht="17">
      <x:c r="A124" s="10" t="s">
        <x:v>423</x:v>
      </x:c>
      <x:c r="B124" s="10" t="s">
        <x:v>1331</x:v>
      </x:c>
      <x:c r="C124" s="10" t="s">
        <x:v>1548</x:v>
      </x:c>
      <x:c r="D124" s="11">
        <x:v>1</x:v>
      </x:c>
    </x:row>
    <x:row r="125" ht="17">
      <x:c r="A125" s="10" t="s">
        <x:v>423</x:v>
      </x:c>
      <x:c r="B125" s="10" t="s">
        <x:v>1549</x:v>
      </x:c>
      <x:c r="C125" s="11">
        <x:v>2</x:v>
      </x:c>
      <x:c r="D125" s="11">
        <x:v>1</x:v>
      </x:c>
    </x:row>
  </x:sheetData>
  <x:mergeCells>
    <x:mergeCell ref="A1:H1"/>
    <x:mergeCell ref="A2:H2"/>
    <x:mergeCell ref="A4:G4"/>
    <x:mergeCell ref="A5:G5"/>
    <x:mergeCell ref="A29:D29"/>
    <x:mergeCell ref="A30:D30"/>
    <x:mergeCell ref="A41:D41"/>
    <x:mergeCell ref="A42:D42"/>
    <x:mergeCell ref="A48:E48"/>
    <x:mergeCell ref="A49:E49"/>
    <x:mergeCell ref="A58:C58"/>
    <x:mergeCell ref="A59:C59"/>
    <x:mergeCell ref="A73:C73"/>
    <x:mergeCell ref="A74:C74"/>
    <x:mergeCell ref="A82:E82"/>
    <x:mergeCell ref="A83:E83"/>
    <x:mergeCell ref="A91:C91"/>
    <x:mergeCell ref="A92:C92"/>
    <x:mergeCell ref="A100:D100"/>
    <x:mergeCell ref="A101:D101"/>
    <x:mergeCell ref="A116:D116"/>
    <x:mergeCell ref="A117:D117"/>
  </x:mergeCells>
  <x:pageMargins left="0.7" right="0.7" top="0.75" bottom="0.75" header="0.3" footer="0.3"/>
  <x:tableParts count="10">
    <x:tablePart xmlns:r="http://schemas.openxmlformats.org/officeDocument/2006/relationships" r:id="Ra1b11f7f14b64edd"/>
    <x:tablePart xmlns:r="http://schemas.openxmlformats.org/officeDocument/2006/relationships" r:id="Rf477105709e24d81"/>
    <x:tablePart xmlns:r="http://schemas.openxmlformats.org/officeDocument/2006/relationships" r:id="Rd83aa680bec94c3b"/>
    <x:tablePart xmlns:r="http://schemas.openxmlformats.org/officeDocument/2006/relationships" r:id="Rea8740d2519349c9"/>
    <x:tablePart xmlns:r="http://schemas.openxmlformats.org/officeDocument/2006/relationships" r:id="R99f2d6f29e934da4"/>
    <x:tablePart xmlns:r="http://schemas.openxmlformats.org/officeDocument/2006/relationships" r:id="Rfd3db7b534ef4eb3"/>
    <x:tablePart xmlns:r="http://schemas.openxmlformats.org/officeDocument/2006/relationships" r:id="Rf48f2c11a5314cbc"/>
    <x:tablePart xmlns:r="http://schemas.openxmlformats.org/officeDocument/2006/relationships" r:id="R0e15b7f133fc4cac"/>
    <x:tablePart xmlns:r="http://schemas.openxmlformats.org/officeDocument/2006/relationships" r:id="R5206f3b3694d43d5"/>
    <x:tablePart xmlns:r="http://schemas.openxmlformats.org/officeDocument/2006/relationships" r:id="R91cb3d0b077345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2" width="20" customWidth="1"/>
    <x:col min="3" max="4" width="18" customWidth="1"/>
    <x:col min="5" max="5" width="28" customWidth="1"/>
    <x:col min="6" max="6" width="42" customWidth="1"/>
    <x:col min="7" max="7" width="26" customWidth="1"/>
    <x:col min="8" max="8" width="28" customWidth="1"/>
    <x:col min="9" max="9" width="42" customWidth="1"/>
  </x:cols>
  <x:sheetData>
    <x:row r="1" ht="30" customHeight="1">
      <x:c r="A1" s="1" t="s">
        <x:v>1550</x:v>
      </x:c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">
        <x:v>1551</x:v>
      </x:c>
      <x:c r="B2" s="2"/>
      <x:c r="C2" s="2"/>
      <x:c r="D2" s="2"/>
      <x:c r="E2" s="2"/>
      <x:c r="F2" s="2"/>
      <x:c r="G2" s="2"/>
      <x:c r="H2" s="2"/>
      <x:c r="I2" s="2"/>
    </x:row>
    <x:row r="4" ht="22" customHeight="1">
      <x:c r="A4" s="5" t="s">
        <x:v>1552</x:v>
      </x:c>
      <x:c r="B4" s="5"/>
      <x:c r="C4" s="5"/>
      <x:c r="D4" s="5"/>
      <x:c r="E4" s="5"/>
    </x:row>
    <x:row r="5">
      <x:c r="A5" s="6" t="s">
        <x:v>1553</x:v>
      </x:c>
      <x:c r="B5" s="6"/>
      <x:c r="C5" s="6"/>
      <x:c r="D5" s="6"/>
      <x:c r="E5" s="6"/>
    </x:row>
    <x:row r="6" ht="17">
      <x:c r="A6" s="3" t="s">
        <x:v>1554</x:v>
      </x:c>
      <x:c r="B6" s="3" t="s">
        <x:v>1555</x:v>
      </x:c>
      <x:c r="C6" s="3" t="s">
        <x:v>1556</x:v>
      </x:c>
      <x:c r="D6" s="3" t="s">
        <x:v>1557</x:v>
      </x:c>
    </x:row>
    <x:row r="7">
      <x:c r="A7" t="s">
        <x:v>399</x:v>
      </x:c>
      <x:c r="B7" s="4">
        <x:v>1</x:v>
      </x:c>
      <x:c r="C7" s="16" t="n">
        <x:f>'01_关键参数'!$C$16+'01_关键参数'!$C$17*(B7-1)</x:f>
        <x:v>600</x:v>
      </x:c>
      <x:c r="D7" t="s">
        <x:v>1558</x:v>
      </x:c>
    </x:row>
    <x:row r="8">
      <x:c r="A8" t="s">
        <x:v>407</x:v>
      </x:c>
      <x:c r="B8" s="4">
        <x:v>2</x:v>
      </x:c>
      <x:c r="C8" s="16" t="n">
        <x:f>'01_关键参数'!$C$16+'01_关键参数'!$C$17*(B8-1)</x:f>
        <x:v>900</x:v>
      </x:c>
      <x:c r="D8" t="s">
        <x:v>1558</x:v>
      </x:c>
    </x:row>
    <x:row r="9">
      <x:c r="A9" t="s">
        <x:v>415</x:v>
      </x:c>
      <x:c r="B9" s="4">
        <x:v>3</x:v>
      </x:c>
      <x:c r="C9" s="16" t="n">
        <x:f>'01_关键参数'!$C$16+'01_关键参数'!$C$17*(B9-1)</x:f>
        <x:v>1200</x:v>
      </x:c>
      <x:c r="D9" t="s">
        <x:v>1558</x:v>
      </x:c>
    </x:row>
    <x:row r="10">
      <x:c r="A10" t="s">
        <x:v>423</x:v>
      </x:c>
      <x:c r="B10" s="4">
        <x:v>4</x:v>
      </x:c>
      <x:c r="C10" s="16" t="n">
        <x:f>'01_关键参数'!$C$16+'01_关键参数'!$C$17*(B10-1)</x:f>
        <x:v>1500</x:v>
      </x:c>
      <x:c r="D10" t="s">
        <x:v>1558</x:v>
      </x:c>
    </x:row>
    <x:row r="11" ht="22" customHeight="1">
      <x:c r="A11" s="5" t="s">
        <x:v>1559</x:v>
      </x:c>
      <x:c r="B11" s="5"/>
      <x:c r="C11" s="5"/>
      <x:c r="D11" s="5"/>
      <x:c r="E11" s="5"/>
      <x:c r="F11" s="5"/>
    </x:row>
    <x:row r="12">
      <x:c r="A12" s="6" t="s">
        <x:v>1560</x:v>
      </x:c>
      <x:c r="B12" s="6"/>
      <x:c r="C12" s="6"/>
      <x:c r="D12" s="6"/>
      <x:c r="E12" s="6"/>
      <x:c r="F12" s="6"/>
    </x:row>
    <x:row r="13" ht="17">
      <x:c r="A13" s="3" t="s">
        <x:v>1358</x:v>
      </x:c>
      <x:c r="B13" s="3" t="s">
        <x:v>1561</x:v>
      </x:c>
      <x:c r="C13" s="3" t="s">
        <x:v>1562</x:v>
      </x:c>
      <x:c r="D13" s="3" t="s">
        <x:v>1563</x:v>
      </x:c>
      <x:c r="E13" s="3" t="s">
        <x:v>1564</x:v>
      </x:c>
      <x:c r="F13" s="3" t="s">
        <x:v>136</x:v>
      </x:c>
    </x:row>
    <x:row r="14">
      <x:c r="A14" t="s">
        <x:v>1362</x:v>
      </x:c>
      <x:c r="B14" s="4">
        <x:v>80</x:v>
      </x:c>
      <x:c r="C14" s="4">
        <x:v>60</x:v>
      </x:c>
      <x:c r="D14" s="16" t="n">
        <x:f>B14-C14</x:f>
        <x:v>20</x:v>
      </x:c>
      <x:c r="E14" s="4">
        <x:v>600</x:v>
      </x:c>
      <x:c r="F14" s="17" t="str">
        <x:f>IF(D14&lt;E14,"通过","检查")</x:f>
        <x:v>通过</x:v>
      </x:c>
    </x:row>
    <x:row r="15">
      <x:c r="A15" t="s">
        <x:v>739</x:v>
      </x:c>
      <x:c r="B15" s="4">
        <x:v>240</x:v>
      </x:c>
      <x:c r="C15" s="4">
        <x:v>180</x:v>
      </x:c>
      <x:c r="D15" s="16" t="n">
        <x:f>B15-C15</x:f>
        <x:v>60</x:v>
      </x:c>
      <x:c r="E15" s="4">
        <x:v>600</x:v>
      </x:c>
      <x:c r="F15" s="17" t="str">
        <x:f>IF(D15&lt;E15,"通过","检查")</x:f>
        <x:v>通过</x:v>
      </x:c>
    </x:row>
    <x:row r="16">
      <x:c r="A16" t="s">
        <x:v>1367</x:v>
      </x:c>
      <x:c r="B16" s="4">
        <x:v>650</x:v>
      </x:c>
      <x:c r="C16" s="4">
        <x:v>500</x:v>
      </x:c>
      <x:c r="D16" s="16" t="n">
        <x:f>B16-C16</x:f>
        <x:v>150</x:v>
      </x:c>
      <x:c r="E16" s="4">
        <x:v>600</x:v>
      </x:c>
      <x:c r="F16" s="17" t="str">
        <x:f>IF(D16&lt;E16,"通过","检查")</x:f>
        <x:v>通过</x:v>
      </x:c>
    </x:row>
    <x:row r="17">
      <x:c r="A17" t="s">
        <x:v>1369</x:v>
      </x:c>
      <x:c r="B17" s="4">
        <x:v>1600</x:v>
      </x:c>
      <x:c r="C17" s="4">
        <x:v>1250</x:v>
      </x:c>
      <x:c r="D17" s="16" t="n">
        <x:f>B17-C17</x:f>
        <x:v>350</x:v>
      </x:c>
      <x:c r="E17" s="4">
        <x:v>600</x:v>
      </x:c>
      <x:c r="F17" s="17" t="str">
        <x:f>IF(D17&lt;E17,"通过","检查")</x:f>
        <x:v>通过</x:v>
      </x:c>
    </x:row>
    <x:row r="20" ht="22" customHeight="1">
      <x:c r="A20" s="5" t="s">
        <x:v>1565</x:v>
      </x:c>
      <x:c r="B20" s="5"/>
      <x:c r="C20" s="5"/>
      <x:c r="D20" s="5"/>
      <x:c r="E20" s="5"/>
      <x:c r="F20" s="5"/>
    </x:row>
    <x:row r="21">
      <x:c r="A21" s="6" t="s">
        <x:v>1566</x:v>
      </x:c>
      <x:c r="B21" s="6"/>
      <x:c r="C21" s="6"/>
      <x:c r="D21" s="6"/>
      <x:c r="E21" s="6"/>
      <x:c r="F21" s="6"/>
    </x:row>
    <x:row r="22" ht="17">
      <x:c r="A22" s="3" t="s">
        <x:v>175</x:v>
      </x:c>
      <x:c r="B22" s="3" t="s">
        <x:v>174</x:v>
      </x:c>
      <x:c r="C22" s="3" t="s">
        <x:v>1567</x:v>
      </x:c>
      <x:c r="D22" s="3" t="s">
        <x:v>1568</x:v>
      </x:c>
      <x:c r="E22" s="3" t="s">
        <x:v>1569</x:v>
      </x:c>
      <x:c r="F22" s="3" t="s">
        <x:v>79</x:v>
      </x:c>
    </x:row>
    <x:row r="23">
      <x:c r="A23" s="4">
        <x:v>1</x:v>
      </x:c>
      <x:c r="B23" t="s">
        <x:v>177</x:v>
      </x:c>
      <x:c r="C23" s="16" t="n">
        <x:f t="shared" ref="C23:C52" si="0">IF(A23&lt;=10,20+8*A23,IF(A23&lt;=20,100+15*(A23-10),300+25*(A23-20)))</x:f>
        <x:v>28</x:v>
      </x:c>
      <x:c r="D23" s="16" t="n">
        <x:f t="shared" ref="D23:D52" si="1">ROUNDUP(C23/5,0)*5</x:f>
        <x:v>30</x:v>
      </x:c>
      <x:c r="E23" t="s">
        <x:v>1570</x:v>
      </x:c>
      <x:c r="F23" t="s">
        <x:v>1571</x:v>
      </x:c>
    </x:row>
    <x:row r="24">
      <x:c r="A24" s="4">
        <x:v>2</x:v>
      </x:c>
      <x:c r="B24" t="s">
        <x:v>177</x:v>
      </x:c>
      <x:c r="C24" s="16">
        <x:f t="shared" si="0"/>
        <x:v>36</x:v>
      </x:c>
      <x:c r="D24" s="16">
        <x:f t="shared" si="1"/>
        <x:v>40</x:v>
      </x:c>
      <x:c r="E24" t="s">
        <x:v>1570</x:v>
      </x:c>
      <x:c r="F24" t="s">
        <x:v>1571</x:v>
      </x:c>
    </x:row>
    <x:row r="25">
      <x:c r="A25" s="4">
        <x:v>3</x:v>
      </x:c>
      <x:c r="B25" t="s">
        <x:v>177</x:v>
      </x:c>
      <x:c r="C25" s="16">
        <x:f t="shared" si="0"/>
        <x:v>44</x:v>
      </x:c>
      <x:c r="D25" s="16">
        <x:f t="shared" si="1"/>
        <x:v>45</x:v>
      </x:c>
      <x:c r="E25" t="s">
        <x:v>1570</x:v>
      </x:c>
      <x:c r="F25" t="s">
        <x:v>1571</x:v>
      </x:c>
    </x:row>
    <x:row r="26">
      <x:c r="A26" s="4">
        <x:v>4</x:v>
      </x:c>
      <x:c r="B26" t="s">
        <x:v>177</x:v>
      </x:c>
      <x:c r="C26" s="16">
        <x:f t="shared" si="0"/>
        <x:v>52</x:v>
      </x:c>
      <x:c r="D26" s="16">
        <x:f t="shared" si="1"/>
        <x:v>55</x:v>
      </x:c>
      <x:c r="E26" t="s">
        <x:v>1570</x:v>
      </x:c>
      <x:c r="F26" t="s">
        <x:v>1571</x:v>
      </x:c>
    </x:row>
    <x:row r="27">
      <x:c r="A27" s="4">
        <x:v>5</x:v>
      </x:c>
      <x:c r="B27" t="s">
        <x:v>177</x:v>
      </x:c>
      <x:c r="C27" s="16">
        <x:f t="shared" si="0"/>
        <x:v>60</x:v>
      </x:c>
      <x:c r="D27" s="16">
        <x:f t="shared" si="1"/>
        <x:v>60</x:v>
      </x:c>
      <x:c r="E27" t="s">
        <x:v>1570</x:v>
      </x:c>
      <x:c r="F27" t="s">
        <x:v>1571</x:v>
      </x:c>
    </x:row>
    <x:row r="28">
      <x:c r="A28" s="4">
        <x:v>6</x:v>
      </x:c>
      <x:c r="B28" t="s">
        <x:v>177</x:v>
      </x:c>
      <x:c r="C28" s="16">
        <x:f t="shared" si="0"/>
        <x:v>68</x:v>
      </x:c>
      <x:c r="D28" s="16">
        <x:f t="shared" si="1"/>
        <x:v>70</x:v>
      </x:c>
      <x:c r="E28" t="s">
        <x:v>1570</x:v>
      </x:c>
      <x:c r="F28" t="s">
        <x:v>1571</x:v>
      </x:c>
    </x:row>
    <x:row r="29">
      <x:c r="A29" s="4">
        <x:v>7</x:v>
      </x:c>
      <x:c r="B29" t="s">
        <x:v>177</x:v>
      </x:c>
      <x:c r="C29" s="16">
        <x:f t="shared" si="0"/>
        <x:v>76</x:v>
      </x:c>
      <x:c r="D29" s="16">
        <x:f t="shared" si="1"/>
        <x:v>80</x:v>
      </x:c>
      <x:c r="E29" t="s">
        <x:v>1570</x:v>
      </x:c>
      <x:c r="F29" t="s">
        <x:v>1571</x:v>
      </x:c>
    </x:row>
    <x:row r="30">
      <x:c r="A30" s="4">
        <x:v>8</x:v>
      </x:c>
      <x:c r="B30" t="s">
        <x:v>177</x:v>
      </x:c>
      <x:c r="C30" s="16">
        <x:f t="shared" si="0"/>
        <x:v>84</x:v>
      </x:c>
      <x:c r="D30" s="16">
        <x:f t="shared" si="1"/>
        <x:v>85</x:v>
      </x:c>
      <x:c r="E30" t="s">
        <x:v>1570</x:v>
      </x:c>
      <x:c r="F30" t="s">
        <x:v>1571</x:v>
      </x:c>
    </x:row>
    <x:row r="31">
      <x:c r="A31" s="4">
        <x:v>9</x:v>
      </x:c>
      <x:c r="B31" t="s">
        <x:v>177</x:v>
      </x:c>
      <x:c r="C31" s="16">
        <x:f t="shared" si="0"/>
        <x:v>92</x:v>
      </x:c>
      <x:c r="D31" s="16">
        <x:f t="shared" si="1"/>
        <x:v>95</x:v>
      </x:c>
      <x:c r="E31" t="s">
        <x:v>1570</x:v>
      </x:c>
      <x:c r="F31" t="s">
        <x:v>1571</x:v>
      </x:c>
    </x:row>
    <x:row r="32">
      <x:c r="A32" s="4">
        <x:v>10</x:v>
      </x:c>
      <x:c r="B32" t="s">
        <x:v>177</x:v>
      </x:c>
      <x:c r="C32" s="16">
        <x:f t="shared" si="0"/>
        <x:v>100</x:v>
      </x:c>
      <x:c r="D32" s="16">
        <x:f t="shared" si="1"/>
        <x:v>100</x:v>
      </x:c>
      <x:c r="E32" t="s">
        <x:v>1570</x:v>
      </x:c>
      <x:c r="F32" t="s">
        <x:v>1571</x:v>
      </x:c>
    </x:row>
    <x:row r="33">
      <x:c r="A33" s="4">
        <x:v>11</x:v>
      </x:c>
      <x:c r="B33" t="s">
        <x:v>180</x:v>
      </x:c>
      <x:c r="C33" s="16">
        <x:f t="shared" si="0"/>
        <x:v>115</x:v>
      </x:c>
      <x:c r="D33" s="16">
        <x:f t="shared" si="1"/>
        <x:v>115</x:v>
      </x:c>
      <x:c r="E33" t="s">
        <x:v>1572</x:v>
      </x:c>
      <x:c r="F33" t="s">
        <x:v>1571</x:v>
      </x:c>
    </x:row>
    <x:row r="34">
      <x:c r="A34" s="4">
        <x:v>12</x:v>
      </x:c>
      <x:c r="B34" t="s">
        <x:v>180</x:v>
      </x:c>
      <x:c r="C34" s="16">
        <x:f t="shared" si="0"/>
        <x:v>130</x:v>
      </x:c>
      <x:c r="D34" s="16">
        <x:f t="shared" si="1"/>
        <x:v>130</x:v>
      </x:c>
      <x:c r="E34" t="s">
        <x:v>1572</x:v>
      </x:c>
      <x:c r="F34" t="s">
        <x:v>1571</x:v>
      </x:c>
    </x:row>
    <x:row r="35">
      <x:c r="A35" s="4">
        <x:v>13</x:v>
      </x:c>
      <x:c r="B35" t="s">
        <x:v>180</x:v>
      </x:c>
      <x:c r="C35" s="16">
        <x:f t="shared" si="0"/>
        <x:v>145</x:v>
      </x:c>
      <x:c r="D35" s="16">
        <x:f t="shared" si="1"/>
        <x:v>145</x:v>
      </x:c>
      <x:c r="E35" t="s">
        <x:v>1572</x:v>
      </x:c>
      <x:c r="F35" t="s">
        <x:v>1571</x:v>
      </x:c>
    </x:row>
    <x:row r="36">
      <x:c r="A36" s="4">
        <x:v>14</x:v>
      </x:c>
      <x:c r="B36" t="s">
        <x:v>180</x:v>
      </x:c>
      <x:c r="C36" s="16">
        <x:f t="shared" si="0"/>
        <x:v>160</x:v>
      </x:c>
      <x:c r="D36" s="16">
        <x:f t="shared" si="1"/>
        <x:v>160</x:v>
      </x:c>
      <x:c r="E36" t="s">
        <x:v>1572</x:v>
      </x:c>
      <x:c r="F36" t="s">
        <x:v>1571</x:v>
      </x:c>
    </x:row>
    <x:row r="37">
      <x:c r="A37" s="4">
        <x:v>15</x:v>
      </x:c>
      <x:c r="B37" t="s">
        <x:v>180</x:v>
      </x:c>
      <x:c r="C37" s="16">
        <x:f t="shared" si="0"/>
        <x:v>175</x:v>
      </x:c>
      <x:c r="D37" s="16">
        <x:f t="shared" si="1"/>
        <x:v>175</x:v>
      </x:c>
      <x:c r="E37" t="s">
        <x:v>1572</x:v>
      </x:c>
      <x:c r="F37" t="s">
        <x:v>1571</x:v>
      </x:c>
    </x:row>
    <x:row r="38">
      <x:c r="A38" s="4">
        <x:v>16</x:v>
      </x:c>
      <x:c r="B38" t="s">
        <x:v>180</x:v>
      </x:c>
      <x:c r="C38" s="16">
        <x:f t="shared" si="0"/>
        <x:v>190</x:v>
      </x:c>
      <x:c r="D38" s="16">
        <x:f t="shared" si="1"/>
        <x:v>190</x:v>
      </x:c>
      <x:c r="E38" t="s">
        <x:v>1572</x:v>
      </x:c>
      <x:c r="F38" t="s">
        <x:v>1571</x:v>
      </x:c>
    </x:row>
    <x:row r="39">
      <x:c r="A39" s="4">
        <x:v>17</x:v>
      </x:c>
      <x:c r="B39" t="s">
        <x:v>180</x:v>
      </x:c>
      <x:c r="C39" s="16">
        <x:f t="shared" si="0"/>
        <x:v>205</x:v>
      </x:c>
      <x:c r="D39" s="16">
        <x:f t="shared" si="1"/>
        <x:v>205</x:v>
      </x:c>
      <x:c r="E39" t="s">
        <x:v>1572</x:v>
      </x:c>
      <x:c r="F39" t="s">
        <x:v>1571</x:v>
      </x:c>
    </x:row>
    <x:row r="40">
      <x:c r="A40" s="4">
        <x:v>18</x:v>
      </x:c>
      <x:c r="B40" t="s">
        <x:v>180</x:v>
      </x:c>
      <x:c r="C40" s="16">
        <x:f t="shared" si="0"/>
        <x:v>220</x:v>
      </x:c>
      <x:c r="D40" s="16">
        <x:f t="shared" si="1"/>
        <x:v>220</x:v>
      </x:c>
      <x:c r="E40" t="s">
        <x:v>1572</x:v>
      </x:c>
      <x:c r="F40" t="s">
        <x:v>1571</x:v>
      </x:c>
    </x:row>
    <x:row r="41">
      <x:c r="A41" s="4">
        <x:v>19</x:v>
      </x:c>
      <x:c r="B41" t="s">
        <x:v>180</x:v>
      </x:c>
      <x:c r="C41" s="16">
        <x:f t="shared" si="0"/>
        <x:v>235</x:v>
      </x:c>
      <x:c r="D41" s="16">
        <x:f t="shared" si="1"/>
        <x:v>235</x:v>
      </x:c>
      <x:c r="E41" t="s">
        <x:v>1572</x:v>
      </x:c>
      <x:c r="F41" t="s">
        <x:v>1571</x:v>
      </x:c>
    </x:row>
    <x:row r="42">
      <x:c r="A42" s="4">
        <x:v>20</x:v>
      </x:c>
      <x:c r="B42" t="s">
        <x:v>180</x:v>
      </x:c>
      <x:c r="C42" s="16">
        <x:f t="shared" si="0"/>
        <x:v>250</x:v>
      </x:c>
      <x:c r="D42" s="16">
        <x:f t="shared" si="1"/>
        <x:v>250</x:v>
      </x:c>
      <x:c r="E42" t="s">
        <x:v>1572</x:v>
      </x:c>
      <x:c r="F42" t="s">
        <x:v>1571</x:v>
      </x:c>
    </x:row>
    <x:row r="43">
      <x:c r="A43" s="4">
        <x:v>21</x:v>
      </x:c>
      <x:c r="B43" t="s">
        <x:v>183</x:v>
      </x:c>
      <x:c r="C43" s="16">
        <x:f t="shared" si="0"/>
        <x:v>325</x:v>
      </x:c>
      <x:c r="D43" s="16">
        <x:f t="shared" si="1"/>
        <x:v>325</x:v>
      </x:c>
      <x:c r="E43" t="s">
        <x:v>1573</x:v>
      </x:c>
      <x:c r="F43" t="s">
        <x:v>1571</x:v>
      </x:c>
    </x:row>
    <x:row r="44">
      <x:c r="A44" s="4">
        <x:v>22</x:v>
      </x:c>
      <x:c r="B44" t="s">
        <x:v>183</x:v>
      </x:c>
      <x:c r="C44" s="16">
        <x:f t="shared" si="0"/>
        <x:v>350</x:v>
      </x:c>
      <x:c r="D44" s="16">
        <x:f t="shared" si="1"/>
        <x:v>350</x:v>
      </x:c>
      <x:c r="E44" t="s">
        <x:v>1573</x:v>
      </x:c>
      <x:c r="F44" t="s">
        <x:v>1571</x:v>
      </x:c>
    </x:row>
    <x:row r="45">
      <x:c r="A45" s="4">
        <x:v>23</x:v>
      </x:c>
      <x:c r="B45" t="s">
        <x:v>183</x:v>
      </x:c>
      <x:c r="C45" s="16">
        <x:f t="shared" si="0"/>
        <x:v>375</x:v>
      </x:c>
      <x:c r="D45" s="16">
        <x:f t="shared" si="1"/>
        <x:v>375</x:v>
      </x:c>
      <x:c r="E45" t="s">
        <x:v>1573</x:v>
      </x:c>
      <x:c r="F45" t="s">
        <x:v>1571</x:v>
      </x:c>
    </x:row>
    <x:row r="46">
      <x:c r="A46" s="4">
        <x:v>24</x:v>
      </x:c>
      <x:c r="B46" t="s">
        <x:v>183</x:v>
      </x:c>
      <x:c r="C46" s="16">
        <x:f t="shared" si="0"/>
        <x:v>400</x:v>
      </x:c>
      <x:c r="D46" s="16">
        <x:f t="shared" si="1"/>
        <x:v>400</x:v>
      </x:c>
      <x:c r="E46" t="s">
        <x:v>1573</x:v>
      </x:c>
      <x:c r="F46" t="s">
        <x:v>1571</x:v>
      </x:c>
    </x:row>
    <x:row r="47">
      <x:c r="A47" s="4">
        <x:v>25</x:v>
      </x:c>
      <x:c r="B47" t="s">
        <x:v>183</x:v>
      </x:c>
      <x:c r="C47" s="16">
        <x:f t="shared" si="0"/>
        <x:v>425</x:v>
      </x:c>
      <x:c r="D47" s="16">
        <x:f t="shared" si="1"/>
        <x:v>425</x:v>
      </x:c>
      <x:c r="E47" t="s">
        <x:v>1573</x:v>
      </x:c>
      <x:c r="F47" t="s">
        <x:v>1571</x:v>
      </x:c>
    </x:row>
    <x:row r="48">
      <x:c r="A48" s="4">
        <x:v>26</x:v>
      </x:c>
      <x:c r="B48" t="s">
        <x:v>183</x:v>
      </x:c>
      <x:c r="C48" s="16">
        <x:f t="shared" si="0"/>
        <x:v>450</x:v>
      </x:c>
      <x:c r="D48" s="16">
        <x:f t="shared" si="1"/>
        <x:v>450</x:v>
      </x:c>
      <x:c r="E48" t="s">
        <x:v>1573</x:v>
      </x:c>
      <x:c r="F48" t="s">
        <x:v>1571</x:v>
      </x:c>
    </x:row>
    <x:row r="49">
      <x:c r="A49" s="4">
        <x:v>27</x:v>
      </x:c>
      <x:c r="B49" t="s">
        <x:v>183</x:v>
      </x:c>
      <x:c r="C49" s="16">
        <x:f t="shared" si="0"/>
        <x:v>475</x:v>
      </x:c>
      <x:c r="D49" s="16">
        <x:f t="shared" si="1"/>
        <x:v>475</x:v>
      </x:c>
      <x:c r="E49" t="s">
        <x:v>1573</x:v>
      </x:c>
      <x:c r="F49" t="s">
        <x:v>1571</x:v>
      </x:c>
    </x:row>
    <x:row r="50">
      <x:c r="A50" s="4">
        <x:v>28</x:v>
      </x:c>
      <x:c r="B50" t="s">
        <x:v>183</x:v>
      </x:c>
      <x:c r="C50" s="16">
        <x:f t="shared" si="0"/>
        <x:v>500</x:v>
      </x:c>
      <x:c r="D50" s="16">
        <x:f t="shared" si="1"/>
        <x:v>500</x:v>
      </x:c>
      <x:c r="E50" t="s">
        <x:v>1573</x:v>
      </x:c>
      <x:c r="F50" t="s">
        <x:v>1571</x:v>
      </x:c>
    </x:row>
    <x:row r="51">
      <x:c r="A51" s="4">
        <x:v>29</x:v>
      </x:c>
      <x:c r="B51" t="s">
        <x:v>183</x:v>
      </x:c>
      <x:c r="C51" s="16">
        <x:f t="shared" si="0"/>
        <x:v>525</x:v>
      </x:c>
      <x:c r="D51" s="16">
        <x:f t="shared" si="1"/>
        <x:v>525</x:v>
      </x:c>
      <x:c r="E51" t="s">
        <x:v>1573</x:v>
      </x:c>
      <x:c r="F51" t="s">
        <x:v>1571</x:v>
      </x:c>
    </x:row>
    <x:row r="52">
      <x:c r="A52" s="4">
        <x:v>30</x:v>
      </x:c>
      <x:c r="B52" t="s">
        <x:v>183</x:v>
      </x:c>
      <x:c r="C52" s="16">
        <x:f t="shared" si="0"/>
        <x:v>550</x:v>
      </x:c>
      <x:c r="D52" s="16">
        <x:f t="shared" si="1"/>
        <x:v>550</x:v>
      </x:c>
      <x:c r="E52" t="s">
        <x:v>1573</x:v>
      </x:c>
      <x:c r="F52" t="s">
        <x:v>1571</x:v>
      </x:c>
    </x:row>
    <x:row r="55" ht="22" customHeight="1">
      <x:c r="A55" s="5" t="s">
        <x:v>1574</x:v>
      </x:c>
      <x:c r="B55" s="5"/>
      <x:c r="C55" s="5"/>
    </x:row>
    <x:row r="56">
      <x:c r="A56" s="6" t="s">
        <x:v>1575</x:v>
      </x:c>
      <x:c r="B56" s="6"/>
      <x:c r="C56" s="6"/>
    </x:row>
    <x:row r="57" ht="17">
      <x:c r="A57" s="3" t="s">
        <x:v>1576</x:v>
      </x:c>
      <x:c r="B57" s="3" t="s">
        <x:v>1577</x:v>
      </x:c>
      <x:c r="C57" s="3" t="s">
        <x:v>1578</x:v>
      </x:c>
    </x:row>
    <x:row r="58" ht="17">
      <x:c r="A58" s="7" t="s">
        <x:v>1501</x:v>
      </x:c>
      <x:c r="B58" s="9">
        <x:v>40</x:v>
      </x:c>
      <x:c r="C58" s="9">
        <x:v>5</x:v>
      </x:c>
    </x:row>
    <x:row r="59" ht="17">
      <x:c r="A59" s="10" t="s">
        <x:v>1333</x:v>
      </x:c>
      <x:c r="B59" s="11">
        <x:v>100</x:v>
      </x:c>
      <x:c r="C59" s="11">
        <x:v>2</x:v>
      </x:c>
    </x:row>
    <x:row r="60" ht="17">
      <x:c r="A60" s="10" t="s">
        <x:v>1328</x:v>
      </x:c>
      <x:c r="B60" s="11">
        <x:v>160</x:v>
      </x:c>
      <x:c r="C60" s="11">
        <x:v>2</x:v>
      </x:c>
    </x:row>
    <x:row r="61" ht="17">
      <x:c r="A61" s="10" t="s">
        <x:v>1579</x:v>
      </x:c>
      <x:c r="B61" s="11">
        <x:v>500</x:v>
      </x:c>
      <x:c r="C61" s="11">
        <x:v>1</x:v>
      </x:c>
    </x:row>
    <x:row r="64" ht="22" customHeight="1">
      <x:c r="A64" s="5" t="s">
        <x:v>1580</x:v>
      </x:c>
      <x:c r="B64" s="5"/>
      <x:c r="C64" s="5"/>
      <x:c r="D64" s="5"/>
    </x:row>
    <x:row r="65">
      <x:c r="A65" s="6" t="s">
        <x:v>1581</x:v>
      </x:c>
      <x:c r="B65" s="6"/>
      <x:c r="C65" s="6"/>
      <x:c r="D65" s="6"/>
    </x:row>
    <x:row r="66" ht="17">
      <x:c r="A66" s="3" t="s">
        <x:v>1582</x:v>
      </x:c>
      <x:c r="B66" s="3" t="s">
        <x:v>1583</x:v>
      </x:c>
      <x:c r="C66" s="3" t="s">
        <x:v>1584</x:v>
      </x:c>
      <x:c r="D66" s="3" t="s">
        <x:v>1585</x:v>
      </x:c>
    </x:row>
    <x:row r="67" ht="17">
      <x:c r="A67" s="7" t="s">
        <x:v>1586</x:v>
      </x:c>
      <x:c r="B67" s="8">
        <x:v>0.42</x:v>
      </x:c>
      <x:c r="C67" s="9">
        <x:v>1</x:v>
      </x:c>
      <x:c r="D67" s="7" t="s">
        <x:v>1587</x:v>
      </x:c>
    </x:row>
    <x:row r="68" ht="17">
      <x:c r="A68" s="10" t="s">
        <x:v>1344</x:v>
      </x:c>
      <x:c r="B68" s="12">
        <x:v>0.12</x:v>
      </x:c>
      <x:c r="C68" s="10" t="s">
        <x:v>1534</x:v>
      </x:c>
      <x:c r="D68" s="10" t="s">
        <x:v>1588</x:v>
      </x:c>
    </x:row>
    <x:row r="69" ht="17">
      <x:c r="A69" s="10" t="s">
        <x:v>1331</x:v>
      </x:c>
      <x:c r="B69" s="12">
        <x:v>0.06</x:v>
      </x:c>
      <x:c r="C69" s="11">
        <x:v>1</x:v>
      </x:c>
      <x:c r="D69" s="10" t="s">
        <x:v>1589</x:v>
      </x:c>
    </x:row>
    <x:row r="70" ht="34">
      <x:c r="A70" s="10" t="s">
        <x:v>1590</x:v>
      </x:c>
      <x:c r="B70" s="12">
        <x:v>0.18</x:v>
      </x:c>
      <x:c r="C70" s="11">
        <x:v>1</x:v>
      </x:c>
      <x:c r="D70" s="10" t="s">
        <x:v>1591</x:v>
      </x:c>
    </x:row>
    <x:row r="71" ht="34">
      <x:c r="A71" s="10" t="s">
        <x:v>1592</x:v>
      </x:c>
      <x:c r="B71" s="12">
        <x:v>0.18</x:v>
      </x:c>
      <x:c r="C71" s="11">
        <x:v>1</x:v>
      </x:c>
      <x:c r="D71" s="10" t="s">
        <x:v>1593</x:v>
      </x:c>
    </x:row>
    <x:row r="72" ht="34">
      <x:c r="A72" s="10" t="s">
        <x:v>1594</x:v>
      </x:c>
      <x:c r="B72" s="12">
        <x:v>0.04</x:v>
      </x:c>
      <x:c r="C72" s="11">
        <x:v>1</x:v>
      </x:c>
      <x:c r="D72" s="10" t="s">
        <x:v>1595</x:v>
      </x:c>
    </x:row>
    <x:row r="75" ht="22" customHeight="1">
      <x:c r="A75" s="5" t="s">
        <x:v>1580</x:v>
      </x:c>
      <x:c r="B75" s="5"/>
      <x:c r="C75" s="5"/>
      <x:c r="D75" s="5"/>
      <x:c r="E75" s="5"/>
    </x:row>
    <x:row r="76">
      <x:c r="A76" s="6" t="s">
        <x:v>1596</x:v>
      </x:c>
      <x:c r="B76" s="6"/>
      <x:c r="C76" s="6"/>
      <x:c r="D76" s="6"/>
      <x:c r="E76" s="6"/>
    </x:row>
    <x:row r="77" ht="17">
      <x:c r="A77" s="3" t="s">
        <x:v>1586</x:v>
      </x:c>
      <x:c r="B77" s="3" t="s">
        <x:v>1362</x:v>
      </x:c>
      <x:c r="C77" s="3" t="s">
        <x:v>739</x:v>
      </x:c>
      <x:c r="D77" s="3" t="s">
        <x:v>1367</x:v>
      </x:c>
      <x:c r="E77" s="3" t="s">
        <x:v>1369</x:v>
      </x:c>
    </x:row>
    <x:row r="78" ht="17">
      <x:c r="A78" s="7" t="s">
        <x:v>1597</x:v>
      </x:c>
      <x:c r="B78" s="9">
        <x:v>120</x:v>
      </x:c>
      <x:c r="C78" s="9">
        <x:v>330</x:v>
      </x:c>
      <x:c r="D78" s="9">
        <x:v>820</x:v>
      </x:c>
      <x:c r="E78" s="9">
        <x:v>1900</x:v>
      </x:c>
    </x:row>
    <x:row r="79" ht="17">
      <x:c r="A79" s="10" t="s">
        <x:v>1598</x:v>
      </x:c>
      <x:c r="B79" s="11">
        <x:v>120</x:v>
      </x:c>
      <x:c r="C79" s="11">
        <x:v>330</x:v>
      </x:c>
      <x:c r="D79" s="11">
        <x:v>850</x:v>
      </x:c>
      <x:c r="E79" s="11">
        <x:v>1950</x:v>
      </x:c>
    </x:row>
    <x:row r="80" ht="17">
      <x:c r="A80" s="10" t="s">
        <x:v>1599</x:v>
      </x:c>
      <x:c r="B80" s="11">
        <x:v>60</x:v>
      </x:c>
      <x:c r="C80" s="11">
        <x:v>180</x:v>
      </x:c>
      <x:c r="D80" s="11">
        <x:v>500</x:v>
      </x:c>
      <x:c r="E80" s="11">
        <x:v>1250</x:v>
      </x:c>
    </x:row>
    <x:row r="81" ht="17">
      <x:c r="A81" s="10" t="s">
        <x:v>1600</x:v>
      </x:c>
      <x:c r="B81" s="11">
        <x:v>160</x:v>
      </x:c>
      <x:c r="C81" s="11">
        <x:v>450</x:v>
      </x:c>
      <x:c r="D81" s="11">
        <x:v>1150</x:v>
      </x:c>
      <x:c r="E81" s="11">
        <x:v>2700</x:v>
      </x:c>
    </x:row>
    <x:row r="82" ht="17">
      <x:c r="A82" s="10" t="s">
        <x:v>1601</x:v>
      </x:c>
      <x:c r="B82" s="11">
        <x:v>300</x:v>
      </x:c>
      <x:c r="C82" s="11">
        <x:v>820</x:v>
      </x:c>
      <x:c r="D82" s="11">
        <x:v>2100</x:v>
      </x:c>
      <x:c r="E82" s="11">
        <x:v>5000</x:v>
      </x:c>
    </x:row>
    <x:row r="85" ht="22" customHeight="1">
      <x:c r="A85" s="5" t="s">
        <x:v>1602</x:v>
      </x:c>
      <x:c r="B85" s="5"/>
      <x:c r="C85" s="5"/>
      <x:c r="D85" s="5"/>
    </x:row>
    <x:row r="86">
      <x:c r="A86" s="6" t="s">
        <x:v>1603</x:v>
      </x:c>
      <x:c r="B86" s="6"/>
      <x:c r="C86" s="6"/>
      <x:c r="D86" s="6"/>
    </x:row>
    <x:row r="87" ht="17">
      <x:c r="A87" s="3" t="s">
        <x:v>1604</x:v>
      </x:c>
      <x:c r="B87" s="3" t="str">
        <x:v>每30秒产出</x:v>
      </x:c>
      <x:c r="C87" s="3" t="str">
        <x:v>每30秒灵粮维护</x:v>
      </x:c>
      <x:c r="D87" s="3" t="s">
        <x:v>1605</x:v>
      </x:c>
    </x:row>
    <x:row r="88" ht="17">
      <x:c r="A88" s="7" t="s">
        <x:v>1606</x:v>
      </x:c>
      <x:c r="B88" s="7" t="s">
        <x:v>1607</x:v>
      </x:c>
      <x:c r="C88" s="9">
        <x:v>0</x:v>
      </x:c>
      <x:c r="D88" s="7" t="s">
        <x:v>1338</x:v>
      </x:c>
    </x:row>
    <x:row r="89" ht="17">
      <x:c r="A89" s="10" t="s">
        <x:v>128</x:v>
      </x:c>
      <x:c r="B89" s="10" t="s">
        <x:v>1608</x:v>
      </x:c>
      <x:c r="C89" s="11">
        <x:v>2</x:v>
      </x:c>
      <x:c r="D89" s="10" t="s">
        <x:v>1338</x:v>
      </x:c>
    </x:row>
    <x:row r="90" ht="17">
      <x:c r="A90" s="10" t="s">
        <x:v>903</x:v>
      </x:c>
      <x:c r="B90" s="10" t="s">
        <x:v>1609</x:v>
      </x:c>
      <x:c r="C90" s="11">
        <x:v>2</x:v>
      </x:c>
      <x:c r="D90" s="10" t="s">
        <x:v>1338</x:v>
      </x:c>
    </x:row>
    <x:row r="91" ht="17">
      <x:c r="A91" s="10" t="s">
        <x:v>1326</x:v>
      </x:c>
      <x:c r="B91" s="10" t="s">
        <x:v>1610</x:v>
      </x:c>
      <x:c r="C91" s="11">
        <x:v>2</x:v>
      </x:c>
      <x:c r="D91" s="10" t="s">
        <x:v>1611</x:v>
      </x:c>
    </x:row>
    <x:row r="92" ht="17">
      <x:c r="A92" s="10" t="s">
        <x:v>904</x:v>
      </x:c>
      <x:c r="B92" s="10" t="s">
        <x:v>1612</x:v>
      </x:c>
      <x:c r="C92" s="10" t="s">
        <x:v>1613</x:v>
      </x:c>
      <x:c r="D92" s="10" t="s">
        <x:v>1614</x:v>
      </x:c>
    </x:row>
    <x:row r="95" ht="22" customHeight="1">
      <x:c r="A95" s="5" t="s">
        <x:v>1602</x:v>
      </x:c>
      <x:c r="B95" s="5"/>
      <x:c r="C95" s="5"/>
      <x:c r="D95" s="5"/>
      <x:c r="E95" s="5"/>
      <x:c r="F95" s="5"/>
    </x:row>
    <x:row r="96">
      <x:c r="A96" s="6" t="s">
        <x:v>1615</x:v>
      </x:c>
      <x:c r="B96" s="6"/>
      <x:c r="C96" s="6"/>
      <x:c r="D96" s="6"/>
      <x:c r="E96" s="6"/>
      <x:c r="F96" s="6"/>
    </x:row>
    <x:row r="97" ht="17">
      <x:c r="A97" s="3" t="s">
        <x:v>1616</x:v>
      </x:c>
      <x:c r="B97" s="3" t="s">
        <x:v>1617</x:v>
      </x:c>
      <x:c r="C97" s="3" t="s">
        <x:v>1618</x:v>
      </x:c>
      <x:c r="D97" s="3" t="s">
        <x:v>1619</x:v>
      </x:c>
      <x:c r="E97" s="3" t="s">
        <x:v>1620</x:v>
      </x:c>
      <x:c r="F97" s="3" t="s">
        <x:v>1621</x:v>
      </x:c>
    </x:row>
    <x:row r="98" ht="17">
      <x:c r="A98" s="9">
        <x:v>1</x:v>
      </x:c>
      <x:c r="B98" s="7" t="s">
        <x:v>1622</x:v>
      </x:c>
      <x:c r="C98" s="7" t="s">
        <x:v>1623</x:v>
      </x:c>
      <x:c r="D98" s="7" t="s">
        <x:v>1624</x:v>
      </x:c>
      <x:c r="E98" s="7" t="s">
        <x:v>1625</x:v>
      </x:c>
      <x:c r="F98" s="7" t="s">
        <x:v>1626</x:v>
      </x:c>
    </x:row>
    <x:row r="99" ht="17">
      <x:c r="A99" s="11">
        <x:v>2</x:v>
      </x:c>
      <x:c r="B99" s="10" t="s">
        <x:v>1627</x:v>
      </x:c>
      <x:c r="C99" s="10" t="s">
        <x:v>1628</x:v>
      </x:c>
      <x:c r="D99" s="10" t="s">
        <x:v>1629</x:v>
      </x:c>
      <x:c r="E99" s="10" t="s">
        <x:v>1630</x:v>
      </x:c>
      <x:c r="F99" s="10" t="s">
        <x:v>1631</x:v>
      </x:c>
    </x:row>
    <x:row r="100" ht="17">
      <x:c r="A100" s="11">
        <x:v>3</x:v>
      </x:c>
      <x:c r="B100" s="10" t="s">
        <x:v>1632</x:v>
      </x:c>
      <x:c r="C100" s="10" t="s">
        <x:v>1633</x:v>
      </x:c>
      <x:c r="D100" s="10" t="s">
        <x:v>1634</x:v>
      </x:c>
      <x:c r="E100" s="10" t="s">
        <x:v>1635</x:v>
      </x:c>
      <x:c r="F100" s="10" t="s">
        <x:v>1636</x:v>
      </x:c>
    </x:row>
    <x:row r="101" ht="17">
      <x:c r="A101" s="11">
        <x:v>4</x:v>
      </x:c>
      <x:c r="B101" s="10" t="s">
        <x:v>1637</x:v>
      </x:c>
      <x:c r="C101" s="10" t="s">
        <x:v>1638</x:v>
      </x:c>
      <x:c r="D101" s="10" t="s">
        <x:v>1639</x:v>
      </x:c>
      <x:c r="E101" s="10" t="s">
        <x:v>1640</x:v>
      </x:c>
      <x:c r="F101" s="10" t="s">
        <x:v>1641</x:v>
      </x:c>
    </x:row>
    <x:row r="102" ht="17">
      <x:c r="A102" s="11">
        <x:v>5</x:v>
      </x:c>
      <x:c r="B102" s="10" t="s">
        <x:v>1642</x:v>
      </x:c>
      <x:c r="C102" s="10" t="s">
        <x:v>1643</x:v>
      </x:c>
      <x:c r="D102" s="10" t="s">
        <x:v>1644</x:v>
      </x:c>
      <x:c r="E102" s="10" t="s">
        <x:v>1645</x:v>
      </x:c>
      <x:c r="F102" s="10" t="s">
        <x:v>1646</x:v>
      </x:c>
    </x:row>
  </x:sheetData>
  <x:mergeCells>
    <x:mergeCell ref="A1:I1"/>
    <x:mergeCell ref="A2:I2"/>
    <x:mergeCell ref="A4:E4"/>
    <x:mergeCell ref="A5:E5"/>
    <x:mergeCell ref="A11:F11"/>
    <x:mergeCell ref="A12:F12"/>
    <x:mergeCell ref="A20:F20"/>
    <x:mergeCell ref="A21:F21"/>
    <x:mergeCell ref="A55:C55"/>
    <x:mergeCell ref="A56:C56"/>
    <x:mergeCell ref="A64:D64"/>
    <x:mergeCell ref="A65:D65"/>
    <x:mergeCell ref="A75:E75"/>
    <x:mergeCell ref="A76:E76"/>
    <x:mergeCell ref="A85:D85"/>
    <x:mergeCell ref="A86:D86"/>
    <x:mergeCell ref="A95:F95"/>
    <x:mergeCell ref="A96:F96"/>
  </x:mergeCells>
  <x:pageMargins left="0.7" right="0.7" top="0.75" bottom="0.75" header="0.3" footer="0.3"/>
  <x:tableParts count="8">
    <x:tablePart xmlns:r="http://schemas.openxmlformats.org/officeDocument/2006/relationships" r:id="Refa407fadd2b4b30"/>
    <x:tablePart xmlns:r="http://schemas.openxmlformats.org/officeDocument/2006/relationships" r:id="R6821f59b1e514e71"/>
    <x:tablePart xmlns:r="http://schemas.openxmlformats.org/officeDocument/2006/relationships" r:id="Red6bf9a95c7c4d08"/>
    <x:tablePart xmlns:r="http://schemas.openxmlformats.org/officeDocument/2006/relationships" r:id="R30c48b9438f34871"/>
    <x:tablePart xmlns:r="http://schemas.openxmlformats.org/officeDocument/2006/relationships" r:id="R82c124869beb4377"/>
    <x:tablePart xmlns:r="http://schemas.openxmlformats.org/officeDocument/2006/relationships" r:id="Rf849a2a979b54c23"/>
    <x:tablePart xmlns:r="http://schemas.openxmlformats.org/officeDocument/2006/relationships" r:id="Rb4d839fffd824650"/>
    <x:tablePart xmlns:r="http://schemas.openxmlformats.org/officeDocument/2006/relationships" r:id="R12dee83d8af24fa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0" customWidth="1"/>
    <x:col min="2" max="2" width="16" customWidth="1"/>
    <x:col min="3" max="3" width="40" customWidth="1"/>
    <x:col min="4" max="4" width="16" customWidth="1"/>
    <x:col min="5" max="6" width="14" customWidth="1"/>
    <x:col min="7" max="7" width="16" customWidth="1"/>
    <x:col min="8" max="8" width="18" customWidth="1"/>
    <x:col min="9" max="9" width="16" customWidth="1"/>
    <x:col min="10" max="10" width="58" customWidth="1"/>
    <x:col min="11" max="11" width="14" customWidth="1"/>
    <x:col min="12" max="12" width="42" customWidth="1"/>
    <x:col min="13" max="13" width="16" customWidth="1"/>
  </x:cols>
  <x:sheetData>
    <x:row r="1" ht="30" customHeight="1">
      <x:c r="A1" s="1" t="s">
        <x:v>1647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0" customHeight="1">
      <x:c r="A2" s="2" t="s">
        <x:v>1648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 ht="17">
      <x:c r="A4" s="3" t="s">
        <x:v>1649</x:v>
      </x:c>
      <x:c r="B4" s="3" t="s">
        <x:v>1650</x:v>
      </x:c>
      <x:c r="C4" s="3" t="s">
        <x:v>1651</x:v>
      </x:c>
      <x:c r="D4" s="3" t="s">
        <x:v>1652</x:v>
      </x:c>
      <x:c r="E4" s="3" t="s">
        <x:v>1653</x:v>
      </x:c>
      <x:c r="F4" s="3" t="s">
        <x:v>1654</x:v>
      </x:c>
      <x:c r="G4" s="3" t="s">
        <x:v>1655</x:v>
      </x:c>
      <x:c r="H4" s="3" t="s">
        <x:v>1656</x:v>
      </x:c>
      <x:c r="I4" s="3" t="s">
        <x:v>1657</x:v>
      </x:c>
      <x:c r="J4" s="3" t="s">
        <x:v>1658</x:v>
      </x:c>
      <x:c r="K4" s="3" t="s">
        <x:v>1659</x:v>
      </x:c>
      <x:c r="L4" s="3" t="s">
        <x:v>79</x:v>
      </x:c>
      <x:c r="M4" s="3" t="s">
        <x:v>1660</x:v>
      </x:c>
    </x:row>
    <x:row r="5">
      <x:c r="A5" t="s">
        <x:v>1661</x:v>
      </x:c>
      <x:c r="B5" t="s">
        <x:v>1662</x:v>
      </x:c>
      <x:c r="C5" t="s">
        <x:v>1663</x:v>
      </x:c>
      <x:c r="D5" s="4">
        <x:v>1100</x:v>
      </x:c>
      <x:c r="E5" s="4">
        <x:v>7</x:v>
      </x:c>
      <x:c r="F5" s="4" t="s">
        <x:v>121</x:v>
      </x:c>
      <x:c r="G5" s="4">
        <x:v>650</x:v>
      </x:c>
      <x:c r="H5" s="13" t="n">
        <x:f t="shared" ref="H5:H10" si="0">G5/E5</x:f>
        <x:v>92.85714285714286</x:v>
      </x:c>
      <x:c r="I5" s="13" t="n">
        <x:f t="shared" ref="I5:I10" si="1">ABS(H5-M5)</x:f>
        <x:v>0.04285714285714448</x:v>
      </x:c>
      <x:c r="J5" t="s">
        <x:v>1664</x:v>
      </x:c>
      <x:c r="K5" s="14">
        <x:v>0.06</x:v>
      </x:c>
      <x:c r="L5" t="s">
        <x:v>1665</x:v>
      </x:c>
      <x:c r="M5" s="15">
        <x:v>92.9</x:v>
      </x:c>
    </x:row>
    <x:row r="6">
      <x:c r="A6" t="s">
        <x:v>1661</x:v>
      </x:c>
      <x:c r="B6" t="s">
        <x:v>1666</x:v>
      </x:c>
      <x:c r="C6" t="s">
        <x:v>1667</x:v>
      </x:c>
      <x:c r="D6" s="4">
        <x:v>1400</x:v>
      </x:c>
      <x:c r="E6" s="4">
        <x:v>7.5</x:v>
      </x:c>
      <x:c r="F6" s="4" t="s">
        <x:v>121</x:v>
      </x:c>
      <x:c r="G6" s="4">
        <x:v>950</x:v>
      </x:c>
      <x:c r="H6" s="13">
        <x:f t="shared" si="0"/>
        <x:v>126.666666666667</x:v>
      </x:c>
      <x:c r="I6" s="13">
        <x:f t="shared" si="1"/>
        <x:v>0.0333333333333314</x:v>
      </x:c>
      <x:c r="J6" t="s">
        <x:v>1668</x:v>
      </x:c>
      <x:c r="K6" s="14">
        <x:v>0.09</x:v>
      </x:c>
      <x:c r="L6" t="s">
        <x:v>1665</x:v>
      </x:c>
      <x:c r="M6" s="15">
        <x:v>126.7</x:v>
      </x:c>
    </x:row>
    <x:row r="7">
      <x:c r="A7" t="s">
        <x:v>1661</x:v>
      </x:c>
      <x:c r="B7" t="s">
        <x:v>1669</x:v>
      </x:c>
      <x:c r="C7" t="s">
        <x:v>1670</x:v>
      </x:c>
      <x:c r="D7" s="4">
        <x:v>1650</x:v>
      </x:c>
      <x:c r="E7" s="4">
        <x:v>8</x:v>
      </x:c>
      <x:c r="F7" s="4" t="s">
        <x:v>121</x:v>
      </x:c>
      <x:c r="G7" s="4">
        <x:v>1400</x:v>
      </x:c>
      <x:c r="H7" s="13">
        <x:f t="shared" si="0"/>
        <x:v>175</x:v>
      </x:c>
      <x:c r="I7" s="13">
        <x:f t="shared" si="1"/>
        <x:v>0</x:v>
      </x:c>
      <x:c r="J7" t="s">
        <x:v>1671</x:v>
      </x:c>
      <x:c r="K7" s="14">
        <x:v>0.12</x:v>
      </x:c>
      <x:c r="L7" t="s">
        <x:v>1665</x:v>
      </x:c>
      <x:c r="M7" s="15">
        <x:v>175</x:v>
      </x:c>
    </x:row>
    <x:row r="8">
      <x:c r="A8" t="s">
        <x:v>1672</x:v>
      </x:c>
      <x:c r="B8" t="s">
        <x:v>1673</x:v>
      </x:c>
      <x:c r="C8" t="s">
        <x:v>1674</x:v>
      </x:c>
      <x:c r="D8" s="4">
        <x:v>1300</x:v>
      </x:c>
      <x:c r="E8" s="4">
        <x:v>7</x:v>
      </x:c>
      <x:c r="F8" s="4" t="s">
        <x:v>118</x:v>
      </x:c>
      <x:c r="G8" s="4">
        <x:v>900</x:v>
      </x:c>
      <x:c r="H8" s="13">
        <x:f t="shared" si="0"/>
        <x:v>128.571428571429</x:v>
      </x:c>
      <x:c r="I8" s="13">
        <x:f t="shared" si="1"/>
        <x:v>0.0285714285714107</x:v>
      </x:c>
      <x:c r="J8" t="s">
        <x:v>1675</x:v>
      </x:c>
      <x:c r="K8" s="14">
        <x:v>0.06</x:v>
      </x:c>
      <x:c r="L8" t="s">
        <x:v>1665</x:v>
      </x:c>
      <x:c r="M8" s="15">
        <x:v>128.6</x:v>
      </x:c>
    </x:row>
    <x:row r="9">
      <x:c r="A9" t="s">
        <x:v>1672</x:v>
      </x:c>
      <x:c r="B9" t="s">
        <x:v>1676</x:v>
      </x:c>
      <x:c r="C9" t="s">
        <x:v>1677</x:v>
      </x:c>
      <x:c r="D9" s="4">
        <x:v>1550</x:v>
      </x:c>
      <x:c r="E9" s="4">
        <x:v>7.5</x:v>
      </x:c>
      <x:c r="F9" s="4" t="s">
        <x:v>118</x:v>
      </x:c>
      <x:c r="G9" s="4">
        <x:v>1400</x:v>
      </x:c>
      <x:c r="H9" s="13">
        <x:f t="shared" si="0"/>
        <x:v>186.666666666667</x:v>
      </x:c>
      <x:c r="I9" s="13">
        <x:f t="shared" si="1"/>
        <x:v>0.0333333333333314</x:v>
      </x:c>
      <x:c r="J9" t="s">
        <x:v>1678</x:v>
      </x:c>
      <x:c r="K9" s="14">
        <x:v>0.09</x:v>
      </x:c>
      <x:c r="L9" t="s">
        <x:v>1665</x:v>
      </x:c>
      <x:c r="M9" s="15">
        <x:v>186.7</x:v>
      </x:c>
    </x:row>
    <x:row r="10">
      <x:c r="A10" t="s">
        <x:v>1672</x:v>
      </x:c>
      <x:c r="B10" t="s">
        <x:v>1679</x:v>
      </x:c>
      <x:c r="C10" t="s">
        <x:v>1670</x:v>
      </x:c>
      <x:c r="D10" s="4">
        <x:v>1750</x:v>
      </x:c>
      <x:c r="E10" s="4">
        <x:v>8</x:v>
      </x:c>
      <x:c r="F10" s="4" t="s">
        <x:v>118</x:v>
      </x:c>
      <x:c r="G10" s="4">
        <x:v>2100</x:v>
      </x:c>
      <x:c r="H10" s="13">
        <x:f t="shared" si="0"/>
        <x:v>262.5</x:v>
      </x:c>
      <x:c r="I10" s="13">
        <x:f t="shared" si="1"/>
        <x:v>0</x:v>
      </x:c>
      <x:c r="J10" t="s">
        <x:v>1680</x:v>
      </x:c>
      <x:c r="K10" s="14">
        <x:v>0.12</x:v>
      </x:c>
      <x:c r="L10" t="s">
        <x:v>1665</x:v>
      </x:c>
      <x:c r="M10" s="15">
        <x:v>262.5</x:v>
      </x:c>
    </x:row>
    <x:row r="13" ht="22" customHeight="1">
      <x:c r="A13" s="5" t="s">
        <x:v>1681</x:v>
      </x:c>
      <x:c r="B13" s="5"/>
      <x:c r="C13" s="5"/>
      <x:c r="D13" s="5"/>
      <x:c r="E13" s="5"/>
    </x:row>
    <x:row r="14">
      <x:c r="A14" s="6" t="s">
        <x:v>1682</x:v>
      </x:c>
      <x:c r="B14" s="6"/>
      <x:c r="C14" s="6"/>
      <x:c r="D14" s="6"/>
      <x:c r="E14" s="6"/>
    </x:row>
    <x:row r="15" ht="17">
      <x:c r="A15" s="3" t="s">
        <x:v>1650</x:v>
      </x:c>
      <x:c r="B15" s="3" t="s">
        <x:v>737</x:v>
      </x:c>
      <x:c r="C15" s="3" t="s">
        <x:v>738</x:v>
      </x:c>
      <x:c r="D15" s="3" t="s">
        <x:v>739</x:v>
      </x:c>
      <x:c r="E15" s="3" t="s">
        <x:v>1683</x:v>
      </x:c>
    </x:row>
    <x:row r="16" ht="17">
      <x:c r="A16" s="7" t="s">
        <x:v>1684</x:v>
      </x:c>
      <x:c r="B16" s="8">
        <x:v>0.7</x:v>
      </x:c>
      <x:c r="C16" s="8">
        <x:v>0.3</x:v>
      </x:c>
      <x:c r="D16" s="9">
        <x:v>0</x:v>
      </x:c>
      <x:c r="E16" s="7" t="s">
        <x:v>1685</x:v>
      </x:c>
    </x:row>
    <x:row r="17" ht="34">
      <x:c r="A17" s="10" t="s">
        <x:v>1686</x:v>
      </x:c>
      <x:c r="B17" s="11">
        <x:v>0</x:v>
      </x:c>
      <x:c r="C17" s="12">
        <x:v>0.7</x:v>
      </x:c>
      <x:c r="D17" s="12">
        <x:v>0.3</x:v>
      </x:c>
      <x:c r="E17" s="10" t="s">
        <x:v>1687</x:v>
      </x:c>
    </x:row>
    <x:row r="18" ht="34">
      <x:c r="A18" s="10" t="s">
        <x:v>1688</x:v>
      </x:c>
      <x:c r="B18" s="11">
        <x:v>0</x:v>
      </x:c>
      <x:c r="C18" s="12">
        <x:v>0.3</x:v>
      </x:c>
      <x:c r="D18" s="12">
        <x:v>0.7</x:v>
      </x:c>
      <x:c r="E18" s="10" t="s">
        <x:v>1689</x:v>
      </x:c>
    </x:row>
    <x:row r="21" ht="22" customHeight="1">
      <x:c r="A21" s="5" t="s">
        <x:v>1681</x:v>
      </x:c>
      <x:c r="B21" s="5"/>
    </x:row>
    <x:row r="22">
      <x:c r="A22" s="6" t="s">
        <x:v>1690</x:v>
      </x:c>
      <x:c r="B22" s="6"/>
    </x:row>
    <x:row r="23" ht="17">
      <x:c r="A23" s="3" t="s">
        <x:v>1650</x:v>
      </x:c>
      <x:c r="B23" s="3" t="s">
        <x:v>1691</x:v>
      </x:c>
    </x:row>
    <x:row r="24" ht="51">
      <x:c r="A24" s="7" t="s">
        <x:v>1662</x:v>
      </x:c>
      <x:c r="B24" s="7" t="s">
        <x:v>1692</x:v>
      </x:c>
    </x:row>
    <x:row r="25" ht="51">
      <x:c r="A25" s="10" t="s">
        <x:v>1666</x:v>
      </x:c>
      <x:c r="B25" s="10" t="s">
        <x:v>1693</x:v>
      </x:c>
    </x:row>
    <x:row r="26" ht="34">
      <x:c r="A26" s="10" t="s">
        <x:v>1669</x:v>
      </x:c>
      <x:c r="B26" s="10" t="s">
        <x:v>1694</x:v>
      </x:c>
    </x:row>
    <x:row r="27" ht="51">
      <x:c r="A27" s="10" t="s">
        <x:v>1673</x:v>
      </x:c>
      <x:c r="B27" s="10" t="s">
        <x:v>1695</x:v>
      </x:c>
    </x:row>
    <x:row r="28" ht="51">
      <x:c r="A28" s="10" t="s">
        <x:v>1676</x:v>
      </x:c>
      <x:c r="B28" s="10" t="s">
        <x:v>1696</x:v>
      </x:c>
    </x:row>
    <x:row r="29" ht="34">
      <x:c r="A29" s="10" t="s">
        <x:v>1679</x:v>
      </x:c>
      <x:c r="B29" s="10" t="s">
        <x:v>1697</x:v>
      </x:c>
    </x:row>
    <x:row r="32" ht="22" customHeight="1">
      <x:c r="A32" s="5" t="s">
        <x:v>1698</x:v>
      </x:c>
      <x:c r="B32" s="5"/>
      <x:c r="C32" s="5"/>
      <x:c r="D32" s="5"/>
    </x:row>
    <x:row r="33">
      <x:c r="A33" s="6" t="s">
        <x:v>1699</x:v>
      </x:c>
      <x:c r="B33" s="6"/>
      <x:c r="C33" s="6"/>
      <x:c r="D33" s="6"/>
    </x:row>
    <x:row r="34" ht="17">
      <x:c r="A34" s="3" t="s">
        <x:v>1650</x:v>
      </x:c>
      <x:c r="B34" s="3" t="s">
        <x:v>1700</x:v>
      </x:c>
      <x:c r="C34" s="3" t="s">
        <x:v>1701</x:v>
      </x:c>
      <x:c r="D34" s="3" t="s">
        <x:v>1702</x:v>
      </x:c>
    </x:row>
    <x:row r="35" ht="68">
      <x:c r="A35" s="7" t="s">
        <x:v>1662</x:v>
      </x:c>
      <x:c r="B35" s="7" t="s">
        <x:v>1703</x:v>
      </x:c>
      <x:c r="C35" s="7" t="s">
        <x:v>1704</x:v>
      </x:c>
      <x:c r="D35" s="7" t="s">
        <x:v>1705</x:v>
      </x:c>
    </x:row>
    <x:row r="36" ht="68">
      <x:c r="A36" s="10" t="s">
        <x:v>1666</x:v>
      </x:c>
      <x:c r="B36" s="10" t="s">
        <x:v>1706</x:v>
      </x:c>
      <x:c r="C36" s="10" t="s">
        <x:v>1707</x:v>
      </x:c>
      <x:c r="D36" s="10" t="s">
        <x:v>1708</x:v>
      </x:c>
    </x:row>
    <x:row r="37" ht="84">
      <x:c r="A37" s="10" t="s">
        <x:v>1669</x:v>
      </x:c>
      <x:c r="B37" s="10" t="s">
        <x:v>1709</x:v>
      </x:c>
      <x:c r="C37" s="10" t="s">
        <x:v>1710</x:v>
      </x:c>
      <x:c r="D37" s="10" t="s">
        <x:v>1711</x:v>
      </x:c>
    </x:row>
    <x:row r="38" ht="68">
      <x:c r="A38" s="10" t="s">
        <x:v>1673</x:v>
      </x:c>
      <x:c r="B38" s="10" t="s">
        <x:v>1712</x:v>
      </x:c>
      <x:c r="C38" s="10" t="s">
        <x:v>1713</x:v>
      </x:c>
      <x:c r="D38" s="10" t="s">
        <x:v>1714</x:v>
      </x:c>
    </x:row>
    <x:row r="39" ht="68">
      <x:c r="A39" s="10" t="s">
        <x:v>1676</x:v>
      </x:c>
      <x:c r="B39" s="10" t="s">
        <x:v>1715</x:v>
      </x:c>
      <x:c r="C39" s="10" t="s">
        <x:v>1716</x:v>
      </x:c>
      <x:c r="D39" s="10" t="s">
        <x:v>1717</x:v>
      </x:c>
    </x:row>
    <x:row r="40" ht="84">
      <x:c r="A40" s="10" t="s">
        <x:v>1679</x:v>
      </x:c>
      <x:c r="B40" s="10" t="s">
        <x:v>1718</x:v>
      </x:c>
      <x:c r="C40" s="10" t="s">
        <x:v>1719</x:v>
      </x:c>
      <x:c r="D40" s="10" t="s">
        <x:v>1720</x:v>
      </x:c>
    </x:row>
  </x:sheetData>
  <x:mergeCells>
    <x:mergeCell ref="A1:M1"/>
    <x:mergeCell ref="A2:M2"/>
    <x:mergeCell ref="A13:E13"/>
    <x:mergeCell ref="A14:E14"/>
    <x:mergeCell ref="A21:B21"/>
    <x:mergeCell ref="A22:B22"/>
    <x:mergeCell ref="A32:D32"/>
    <x:mergeCell ref="A33:D33"/>
  </x:mergeCells>
  <x:pageMargins left="0.7" right="0.7" top="0.75" bottom="0.75" header="0.3" footer="0.3"/>
  <x:tableParts count="4">
    <x:tablePart xmlns:r="http://schemas.openxmlformats.org/officeDocument/2006/relationships" r:id="Rd1d3c368aad54cfc"/>
    <x:tablePart xmlns:r="http://schemas.openxmlformats.org/officeDocument/2006/relationships" r:id="R033eb75a5e4e4669"/>
    <x:tablePart xmlns:r="http://schemas.openxmlformats.org/officeDocument/2006/relationships" r:id="R3bd7410a16624788"/>
    <x:tablePart xmlns:r="http://schemas.openxmlformats.org/officeDocument/2006/relationships" r:id="R5a0ea6cd99b14929"/>
  </x:tableParts>
</x:worksheet>
</file>