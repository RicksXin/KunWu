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3860"/>
  </bookViews>
  <sheets>
    <sheet name="00_说明" sheetId="1" r:id="rId1"/>
    <sheet name="01_关键参数" sheetId="2" r:id="rId2"/>
    <sheet name="02_等级成长" sheetId="3" r:id="rId3"/>
    <sheet name="03_七维成长" sheetId="4" r:id="rId4"/>
    <sheet name="04_战斗经济" sheetId="5" r:id="rId5"/>
    <sheet name="05_职业技能" sheetId="6" r:id="rId6"/>
    <sheet name="06_装备基础" sheetId="7" r:id="rId7"/>
    <sheet name="07_特定装备" sheetId="8" r:id="rId8"/>
    <sheet name="08_敌人" sheetId="9" r:id="rId9"/>
    <sheet name="09_Boss" sheetId="10" r:id="rId10"/>
    <sheet name="10_炼器" sheetId="11" r:id="rId11"/>
    <sheet name="11_材料" sheetId="12" r:id="rId12"/>
    <sheet name="12_后勤" sheetId="13" r:id="rId13"/>
    <sheet name="13_资源副本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<sst xmlns="http://schemas.openxmlformats.org/spreadsheetml/2006/main" count="2649" uniqueCount="1723">
  <si>
    <t>《昆吾禁地》1.0 数值总表</t>
  </si>
  <si>
    <t>版本 1.0-balance.1｜生成日期 2026-08-06｜规则文字以 Markdown 策划为事实源，本工作簿用于集中调参与核算</t>
  </si>
  <si>
    <t>使用说明</t>
  </si>
  <si>
    <t>金色单元格＝策划输入；绿色单元格＝公式派生；灰色单元格＝来源与说明</t>
  </si>
  <si>
    <t>工作表</t>
  </si>
  <si>
    <t>内容</t>
  </si>
  <si>
    <t>使用要点</t>
  </si>
  <si>
    <t>01_关键参数</t>
  </si>
  <si>
    <t>核心常量与自动一致性检查</t>
  </si>
  <si>
    <t>先看状态列；调整输入后复核所有公式</t>
  </si>
  <si>
    <t>02_等级成长</t>
  </si>
  <si>
    <t>Lv1–30 魂晶曲线、境界与突破成本</t>
  </si>
  <si>
    <t>累计魂晶和四人总成本由公式计算</t>
  </si>
  <si>
    <t>03_七维成长</t>
  </si>
  <si>
    <t>灵根、职业、路线成长与结丹加成</t>
  </si>
  <si>
    <t>成长率单位为千分位整数</t>
  </si>
  <si>
    <t>04_战斗经济</t>
  </si>
  <si>
    <t>战斗公式、状态、四阶段基线与十小时预算</t>
  </si>
  <si>
    <t>公式文本与预算表共同审计</t>
  </si>
  <si>
    <t>05_职业技能</t>
  </si>
  <si>
    <t>36 个稳定技能 ID 的标准化参数</t>
  </si>
  <si>
    <t>tick 自动换算为秒</t>
  </si>
  <si>
    <t>06_装备基础</t>
  </si>
  <si>
    <t>品质、器纹预算、掉落、铁胚与分解</t>
  </si>
  <si>
    <t>器纹结果矩阵由品质倍率计算</t>
  </si>
  <si>
    <t>07_特定装备</t>
  </si>
  <si>
    <t>上品、珍品、魂器与古宝定义</t>
  </si>
  <si>
    <t>保留来源与固定效果</t>
  </si>
  <si>
    <t>08_敌人</t>
  </si>
  <si>
    <t>四图普通敌人与精英标准化面板</t>
  </si>
  <si>
    <t>七维拆列并计算面板战力</t>
  </si>
  <si>
    <t>09_Boss</t>
  </si>
  <si>
    <t>四个主线 Boss 面板、阶段与技能</t>
  </si>
  <si>
    <t>主体、部件和召唤耐久分开记录</t>
  </si>
  <si>
    <t>10_炼器</t>
  </si>
  <si>
    <t>24 级炼器坊、配方与永久强化</t>
  </si>
  <si>
    <t>累计灵木由公式计算</t>
  </si>
  <si>
    <t>11_材料</t>
  </si>
  <si>
    <t>资源分层、资源包、食物、资源点与材料职责</t>
  </si>
  <si>
    <t>20 个资源包稳定 ID 已展开</t>
  </si>
  <si>
    <t>12_后勤</t>
  </si>
  <si>
    <t>商店、生产、储量、还魂、灵息与失败</t>
  </si>
  <si>
    <t>含刷新套利和还魂费用公式</t>
  </si>
  <si>
    <t>13_资源副本</t>
  </si>
  <si>
    <t>两座副本三档收益、装备与首通</t>
  </si>
  <si>
    <t>每分钟保底效率由公式回算</t>
  </si>
  <si>
    <t>策划事实源</t>
  </si>
  <si>
    <t>工作簿中的每个区块均标注原文件与原行号</t>
  </si>
  <si>
    <t>文件</t>
  </si>
  <si>
    <t>版本</t>
  </si>
  <si>
    <t>日期</t>
  </si>
  <si>
    <t>仓库路径</t>
  </si>
  <si>
    <t>16_1.0成长经济与战斗数值_草案.md</t>
  </si>
  <si>
    <t>1.0-balance.1</t>
  </si>
  <si>
    <t>2026-08-06</t>
  </si>
  <si>
    <t>Docs/1.0策划案/数值/16_1.0成长经济与战斗数值_草案.md</t>
  </si>
  <si>
    <t>17_1.0职业技能数值_草案.md</t>
  </si>
  <si>
    <t>1.0-draft.3</t>
  </si>
  <si>
    <t>2026-08-05</t>
  </si>
  <si>
    <t>Docs/1.0策划案/数值/17_1.0职业技能数值_草案.md</t>
  </si>
  <si>
    <t>18_1.0装备与掉落数值_草案.md</t>
  </si>
  <si>
    <t>Docs/1.0策划案/数值/18_1.0装备与掉落数值_草案.md</t>
  </si>
  <si>
    <t>19_1.0敌人与Boss战斗数值_草案.md</t>
  </si>
  <si>
    <t>Docs/1.0策划案/数值/19_1.0敌人与Boss战斗数值_草案.md</t>
  </si>
  <si>
    <t>33_炼器坊升级与炼制机制_草案.md</t>
  </si>
  <si>
    <t>Docs/1.0策划案/数值/33_炼器坊升级与炼制机制_草案.md</t>
  </si>
  <si>
    <t>34_1.0基础材料与资源循环_草案.md</t>
  </si>
  <si>
    <t>Docs/1.0策划案/数值/34_1.0基础材料与资源循环_草案.md</t>
  </si>
  <si>
    <t>36_营地后勤与野外循环机制_草案.md</t>
  </si>
  <si>
    <t>Docs/1.0策划案/数值/36_营地后勤与野外循环机制_草案.md</t>
  </si>
  <si>
    <t>地图/32_可重复资源副本与新修士追赶机制_草案.md</t>
  </si>
  <si>
    <t>resource-dungeon-balance.1</t>
  </si>
  <si>
    <t>Docs/1.0策划案/地图/32_可重复资源副本与新修士追赶机制_草案.md</t>
  </si>
  <si>
    <t>关键参数与自动检查</t>
  </si>
  <si>
    <t>调整金色输入后，优先查看下方检查状态；跨表公式均使用带引号的工作表引用</t>
  </si>
  <si>
    <t>系统</t>
  </si>
  <si>
    <t>参数</t>
  </si>
  <si>
    <t>输入值</t>
  </si>
  <si>
    <t>单位</t>
  </si>
  <si>
    <t>事实源</t>
  </si>
  <si>
    <t>战斗</t>
  </si>
  <si>
    <t>每秒 tick</t>
  </si>
  <si>
    <t>tick/秒</t>
  </si>
  <si>
    <t>成长数值 §4.1</t>
  </si>
  <si>
    <t>队伍</t>
  </si>
  <si>
    <t>固定队伍人数</t>
  </si>
  <si>
    <t>人</t>
  </si>
  <si>
    <t>成长数值 §1</t>
  </si>
  <si>
    <t>成长</t>
  </si>
  <si>
    <t>1.0 等级上限</t>
  </si>
  <si>
    <t>级</t>
  </si>
  <si>
    <t>成长数值 §2.1</t>
  </si>
  <si>
    <t>后勤</t>
  </si>
  <si>
    <t>交易行自然刷新</t>
  </si>
  <si>
    <t>小时</t>
  </si>
  <si>
    <t>后勤 §2.3</t>
  </si>
  <si>
    <t>随机栏格数</t>
  </si>
  <si>
    <t>格</t>
  </si>
  <si>
    <t>后勤 §2.2</t>
  </si>
  <si>
    <t>探索</t>
  </si>
  <si>
    <t>扎营疗伤比例</t>
  </si>
  <si>
    <t>最大生命</t>
  </si>
  <si>
    <t>后勤 §6.1</t>
  </si>
  <si>
    <t>灵息上限</t>
  </si>
  <si>
    <t>点</t>
  </si>
  <si>
    <t>后勤 §6.2</t>
  </si>
  <si>
    <t>灵息每点恢复分钟</t>
  </si>
  <si>
    <t>分钟</t>
  </si>
  <si>
    <t>仓库</t>
  </si>
  <si>
    <t>装备仓位</t>
  </si>
  <si>
    <t>件</t>
  </si>
  <si>
    <t>后勤 §4.1</t>
  </si>
  <si>
    <t>失败</t>
  </si>
  <si>
    <t>临时战利品损失率</t>
  </si>
  <si>
    <t>数量/概率</t>
  </si>
  <si>
    <t>后勤 §6.3</t>
  </si>
  <si>
    <t>经济</t>
  </si>
  <si>
    <t>十小时魂晶总投放</t>
  </si>
  <si>
    <t>魂晶</t>
  </si>
  <si>
    <t>成长数值 §5.1</t>
  </si>
  <si>
    <t>地图1手动刷新基础费</t>
  </si>
  <si>
    <t>灵石</t>
  </si>
  <si>
    <t>每地图刷新费增量</t>
  </si>
  <si>
    <t>炼器</t>
  </si>
  <si>
    <t>炼器坊等级上限</t>
  </si>
  <si>
    <t>炼器坊 §2.1</t>
  </si>
  <si>
    <t>储量</t>
  </si>
  <si>
    <t>1.0 灵木最大容量</t>
  </si>
  <si>
    <t>灵木</t>
  </si>
  <si>
    <t>后勤 §3.3</t>
  </si>
  <si>
    <t>一致性检查</t>
  </si>
  <si>
    <t>“通过”表示当前工作簿与冻结策划基线一致；出现“检查”时应先追踪公式引用</t>
  </si>
  <si>
    <t>检查项</t>
  </si>
  <si>
    <t>当前值</t>
  </si>
  <si>
    <t>目标/上限</t>
  </si>
  <si>
    <t>关系</t>
  </si>
  <si>
    <t>状态</t>
  </si>
  <si>
    <t>说明</t>
  </si>
  <si>
    <t>稳定技能 ID 数</t>
  </si>
  <si>
    <t>等于</t>
  </si>
  <si>
    <t>四个炼气职业与八条分支各 3 个技能</t>
  </si>
  <si>
    <t>Lv24 四人累计魂晶</t>
  </si>
  <si>
    <t>不含突破材料</t>
  </si>
  <si>
    <t>十小时通关魂晶余量</t>
  </si>
  <si>
    <t>25150 - 四人 Lv24 成本</t>
  </si>
  <si>
    <t>炼器坊最高单级木耗</t>
  </si>
  <si>
    <t>≤</t>
  </si>
  <si>
    <t>不得超过 1.0 灵木最大容量</t>
  </si>
  <si>
    <t>灵石包最高单包净值</t>
  </si>
  <si>
    <t>&lt;</t>
  </si>
  <si>
    <t>不得覆盖地图1最低手动刷新费</t>
  </si>
  <si>
    <t>资源副本效率偏差最大值</t>
  </si>
  <si>
    <t>回算值与策划展示值的绝对差</t>
  </si>
  <si>
    <t>等级、境界与魂晶</t>
  </si>
  <si>
    <t>魂晶累计与固定四人总成本由公式计算；突破成本独立列示</t>
  </si>
  <si>
    <t>关键结果</t>
  </si>
  <si>
    <t>绿色单元格为公式结果</t>
  </si>
  <si>
    <t>节点</t>
  </si>
  <si>
    <t>单人累计魂晶</t>
  </si>
  <si>
    <t>四人累计魂晶</t>
  </si>
  <si>
    <t>Lv10</t>
  </si>
  <si>
    <t>Lv20</t>
  </si>
  <si>
    <t>Lv21</t>
  </si>
  <si>
    <t>Lv24</t>
  </si>
  <si>
    <t>Lv30</t>
  </si>
  <si>
    <t>Lv1–30 魂晶曲线</t>
  </si>
  <si>
    <t>境界区间</t>
  </si>
  <si>
    <t>事实源：16_1.0成长经济与战斗数值_草案.md §2.2</t>
  </si>
  <si>
    <t>事实源：成长数值 §2.1</t>
  </si>
  <si>
    <t>当前等级</t>
  </si>
  <si>
    <t>目标等级</t>
  </si>
  <si>
    <t>本级魂晶</t>
  </si>
  <si>
    <t>单人累计</t>
  </si>
  <si>
    <t>四人累计</t>
  </si>
  <si>
    <t>境界</t>
  </si>
  <si>
    <t>等级</t>
  </si>
  <si>
    <t>1.0 功能</t>
  </si>
  <si>
    <t>炼气</t>
  </si>
  <si>
    <t>1–10</t>
  </si>
  <si>
    <t>初始职业和三技能</t>
  </si>
  <si>
    <t>筑基</t>
  </si>
  <si>
    <t>11–20</t>
  </si>
  <si>
    <t>Lv10 完成试炼后二选一；更换为分支的 3 个核心技能并锁定技能 ID</t>
  </si>
  <si>
    <t>结丹</t>
  </si>
  <si>
    <t>21–30</t>
  </si>
  <si>
    <t>沿筑基分支线性晋升；技能不更换，进入【精通】数值并获得一次性突破属性</t>
  </si>
  <si>
    <t>突破与专精重置成本</t>
  </si>
  <si>
    <t>突破固定成功；魂晶升级成本与突破成本分开</t>
  </si>
  <si>
    <t>事项</t>
  </si>
  <si>
    <t>最低等级</t>
  </si>
  <si>
    <t>降尘丹</t>
  </si>
  <si>
    <t>灵晶折算</t>
  </si>
  <si>
    <t>升级魂晶</t>
  </si>
  <si>
    <t>条件/说明</t>
  </si>
  <si>
    <t>地图2四阵眼与职业试炼</t>
  </si>
  <si>
    <t>地图3主线与个人试炼</t>
  </si>
  <si>
    <t>结丹·借阵</t>
  </si>
  <si>
    <t>每人灵石减免300</t>
  </si>
  <si>
    <t>筑基专精重置</t>
  </si>
  <si>
    <t>同一初始职业另一分支</t>
  </si>
  <si>
    <t>结丹专精重置</t>
  </si>
  <si>
    <t>替换结丹称号、成长与精通技能</t>
  </si>
  <si>
    <t>七维成长与路线面板</t>
  </si>
  <si>
    <t>内部字段冻结：strength / magic / technique / speed / constitution / armor / resistance</t>
  </si>
  <si>
    <t>3.1 灵根资质倍率</t>
  </si>
  <si>
    <t>事实源：16_1.0成长经济与战斗数值_草案.md 第127行</t>
  </si>
  <si>
    <t>灵根资质</t>
  </si>
  <si>
    <t>稳定 ID</t>
  </si>
  <si>
    <t>初始七维倍率 basePercent</t>
  </si>
  <si>
    <t>升级成长倍率 growthPercent</t>
  </si>
  <si>
    <t>杂灵根</t>
  </si>
  <si>
    <t>mixed_root</t>
  </si>
  <si>
    <t>伪灵根</t>
  </si>
  <si>
    <t>pseudo_root</t>
  </si>
  <si>
    <t>三灵根</t>
  </si>
  <si>
    <t>triple_root</t>
  </si>
  <si>
    <t>双灵根</t>
  </si>
  <si>
    <t>dual_root</t>
  </si>
  <si>
    <t>天灵根</t>
  </si>
  <si>
    <t>heavenly_root</t>
  </si>
  <si>
    <t>异灵根</t>
  </si>
  <si>
    <t>variant_root</t>
  </si>
  <si>
    <t>事实源：16_1.0成长经济与战斗数值_草案.md 第138行</t>
  </si>
  <si>
    <t>修士</t>
  </si>
  <si>
    <t>初始职业</t>
  </si>
  <si>
    <t>石岩</t>
  </si>
  <si>
    <t>金刚禅修</t>
  </si>
  <si>
    <t>伪灵根 pseudo_root</t>
  </si>
  <si>
    <t>陆清</t>
  </si>
  <si>
    <t>五行法修</t>
  </si>
  <si>
    <t>白灵</t>
  </si>
  <si>
    <t>玄箓修</t>
  </si>
  <si>
    <t>墨言</t>
  </si>
  <si>
    <t>剑修</t>
  </si>
  <si>
    <t>杂灵根 mixed_root</t>
  </si>
  <si>
    <t>3.3 炼气成长率</t>
  </si>
  <si>
    <t>事实源：16_1.0成长经济与战斗数值_草案.md 第194行</t>
  </si>
  <si>
    <t>职业</t>
  </si>
  <si>
    <t>力道</t>
  </si>
  <si>
    <t>法力</t>
  </si>
  <si>
    <t>神识</t>
  </si>
  <si>
    <t>遁速</t>
  </si>
  <si>
    <t>肉身</t>
  </si>
  <si>
    <t>护体</t>
  </si>
  <si>
    <t>定力</t>
  </si>
  <si>
    <t>3.4 筑基至结丹路线成长率</t>
  </si>
  <si>
    <t>事实源：16_1.0成长经济与战斗数值_草案.md 第203行</t>
  </si>
  <si>
    <t>路线</t>
  </si>
  <si>
    <t>每级定位</t>
  </si>
  <si>
    <t>护法金身/不动金刚</t>
  </si>
  <si>
    <t>嘲讽、承伤、反伤</t>
  </si>
  <si>
    <t>魔相力士/三相魔君</t>
  </si>
  <si>
    <t>前排输出、自恢复</t>
  </si>
  <si>
    <t>雷法术式/九霄雷君</t>
  </si>
  <si>
    <t>雷印、连锁、中低群疗</t>
  </si>
  <si>
    <t>蜃景幻法/蜃梦玄君</t>
  </si>
  <si>
    <t>减益、DoT、伤害转疗</t>
  </si>
  <si>
    <t>镇幽符脉/镇魂符君</t>
  </si>
  <si>
    <t>对鬼符攻、中上群疗</t>
  </si>
  <si>
    <t>万象符脉/天元符君</t>
  </si>
  <si>
    <t>单体攻疗、符傀嘲讽</t>
  </si>
  <si>
    <t>青冥剑修/青冥剑君</t>
  </si>
  <si>
    <t>高速暴击、剑煞 DoT</t>
  </si>
  <si>
    <t>玄岳剑修/玄岳剑君</t>
  </si>
  <si>
    <t>重击、破甲、中低概率眩晕</t>
  </si>
  <si>
    <t>3.5 结丹一次性属性</t>
  </si>
  <si>
    <t>事实源：16_1.0成长经济与战斗数值_草案.md 第218行</t>
  </si>
  <si>
    <t>结丹职业</t>
  </si>
  <si>
    <t>力</t>
  </si>
  <si>
    <t>法</t>
  </si>
  <si>
    <t>神</t>
  </si>
  <si>
    <t>速</t>
  </si>
  <si>
    <t>肉</t>
  </si>
  <si>
    <t>护</t>
  </si>
  <si>
    <t>定</t>
  </si>
  <si>
    <t>合计</t>
  </si>
  <si>
    <t>不动金刚</t>
  </si>
  <si>
    <t>三相魔君</t>
  </si>
  <si>
    <t>九霄雷君</t>
  </si>
  <si>
    <t>蜃梦玄君</t>
  </si>
  <si>
    <t>镇魂符君</t>
  </si>
  <si>
    <t>天元符君</t>
  </si>
  <si>
    <t>青冥剑君</t>
  </si>
  <si>
    <t>玄岳剑君</t>
  </si>
  <si>
    <t>3.6 现有炼气实现对照基线</t>
  </si>
  <si>
    <t>事实源：16_1.0成长经济与战斗数值_草案.md 第236行</t>
  </si>
  <si>
    <t>Lv1</t>
  </si>
  <si>
    <t>Lv25</t>
  </si>
  <si>
    <t>15/4/7/8/14/11/6；HP232；战65</t>
  </si>
  <si>
    <t>36/5/11/11/39/28/12；HP432；战142</t>
  </si>
  <si>
    <t>60/8/17/16/68/48/20；HP664；战237</t>
  </si>
  <si>
    <t>63/8/18/16/71/50/21；HP688；战247</t>
  </si>
  <si>
    <t>73/9/20/18/82/58/24；HP776；战284</t>
  </si>
  <si>
    <t>85/10/22/20/96/68/28；HP888；战329</t>
  </si>
  <si>
    <t>4/16/10/8/7/4/11；HP140；战60</t>
  </si>
  <si>
    <t>5/45/29/11/14/9/22；HP196；战135</t>
  </si>
  <si>
    <t>8/78/51/16/23/16/36；HP268；战228</t>
  </si>
  <si>
    <t>8/82/54/16/24/17/37；HP276；战238</t>
  </si>
  <si>
    <t>9/95/62/18/28/19/42；HP308；战273</t>
  </si>
  <si>
    <t>10/111/73/20/32/23/49；HP340；战318</t>
  </si>
  <si>
    <t>4/14/11/9/8/5/12；HP156；战63</t>
  </si>
  <si>
    <t>5/41/26/13/16/10/29；HP220；战140</t>
  </si>
  <si>
    <t>8/72/44/19/26/17/49；HP300；战235</t>
  </si>
  <si>
    <t>8/75/46/20/27/18/51；HP308；战245</t>
  </si>
  <si>
    <t>9/87/53/22/31/20/59；HP340；战281</t>
  </si>
  <si>
    <t>10/103/62/24/36/24/69；HP380；战328</t>
  </si>
  <si>
    <t>10/5/14/14/8/6/6；HP160；战63</t>
  </si>
  <si>
    <t>26/6/33/28/17/13/11；HP232；战134</t>
  </si>
  <si>
    <t>44/8/55/44/27/21/17；HP312；战216</t>
  </si>
  <si>
    <t>46/9/58/46/28/22/18；HP320；战227</t>
  </si>
  <si>
    <t>53/9/66/52/32/25/20；HP352；战257</t>
  </si>
  <si>
    <t>62/10/77/60/37/29/23；HP392；战298</t>
  </si>
  <si>
    <t>3.7 八条转职路线精确无装备面板</t>
  </si>
  <si>
    <t>事实源：16_1.0成长经济与战斗数值_草案.md 第248行</t>
  </si>
  <si>
    <t>固定修士·路线</t>
  </si>
  <si>
    <t>石岩·不动金刚</t>
  </si>
  <si>
    <t>54/7/16/14/72/61/26；HP696；战250</t>
  </si>
  <si>
    <t>60/7/18/14/82/72/32；HP776；战285</t>
  </si>
  <si>
    <t>66/8/19/15/92/82/37；HP856；战319</t>
  </si>
  <si>
    <t>77/9/23/17/112/102/45；HP1016；战385</t>
  </si>
  <si>
    <t>石岩·三相魔君</t>
  </si>
  <si>
    <t>72/7/18/20/66/43/23；HP648；战249</t>
  </si>
  <si>
    <t>84/7/21/23/75/48/26；HP720；战284</t>
  </si>
  <si>
    <t>95/8/23/26/83/53/29；HP784；战317</t>
  </si>
  <si>
    <t>117/9/28/32/100/62/36；HP920；战384</t>
  </si>
  <si>
    <t>陆清·九霄雷君</t>
  </si>
  <si>
    <t>7/81/53/18/21/14/37；HP252；战231</t>
  </si>
  <si>
    <t>7/93/61/22/23/16/43；HP268；战265</t>
  </si>
  <si>
    <t>8/104/68/24/25/17/48；HP284；战294</t>
  </si>
  <si>
    <t>9/126/83/29/30/21/57；HP324；战355</t>
  </si>
  <si>
    <t>陆清·蜃梦玄君</t>
  </si>
  <si>
    <t>7/78/57/20/21/14/34；HP252；战231</t>
  </si>
  <si>
    <t>7/89/68/25/23/16/38；HP268；战266</t>
  </si>
  <si>
    <t>8/99/77/28/25/17/41；HP284；战295</t>
  </si>
  <si>
    <t>9/119/94/34/30/21/49；HP324；战356</t>
  </si>
  <si>
    <t>白灵·镇魂符君</t>
  </si>
  <si>
    <t>7/70/44/19/25/16/53；HP292；战234</t>
  </si>
  <si>
    <t>7/80/51/21/28/18/64；HP316；战269</t>
  </si>
  <si>
    <t>8/89/57/23/31/20/71；HP340；战299</t>
  </si>
  <si>
    <t>9/107/68/27/37/24/86；HP388；战358</t>
  </si>
  <si>
    <t>白灵·天元符君</t>
  </si>
  <si>
    <t>7/68/50/20/28/19/45；HP316；战237</t>
  </si>
  <si>
    <t>7/77/59/23/32/23/51；HP348；战272</t>
  </si>
  <si>
    <t>8/85/66/25/35/26/56；HP372；战301</t>
  </si>
  <si>
    <t>9/102/81/30/43/32/66；HP436；战363</t>
  </si>
  <si>
    <t>墨言·青冥剑君</t>
  </si>
  <si>
    <t>43/8/65/51/24/18/15；HP288；战224</t>
  </si>
  <si>
    <t>48/8/77/61/26/19/16；HP304；战255</t>
  </si>
  <si>
    <t>53/8/86/68/28/21/17；HP320；战281</t>
  </si>
  <si>
    <t>64/10/106/82/33/24/20；HP360；战339</t>
  </si>
  <si>
    <t>墨言·玄岳剑君</t>
  </si>
  <si>
    <t>60/8/42/33/37/29/17；HP392；战226</t>
  </si>
  <si>
    <t>73/8/45/33/45/35/18；HP456；战257</t>
  </si>
  <si>
    <t>83/8/48/35/51/40/20；HP504；战285</t>
  </si>
  <si>
    <t>104/10/54/38/63/50/24；HP600；战343</t>
  </si>
  <si>
    <t>战斗公式、状态与十小时经济</t>
  </si>
  <si>
    <t>所有公式均为策划冻结口径；乘法先乘后除并向下取整，最终直接伤害至少 1</t>
  </si>
  <si>
    <t>核心公式</t>
  </si>
  <si>
    <t>事实源：成长数值 §4.1–4.2</t>
  </si>
  <si>
    <t>指标</t>
  </si>
  <si>
    <t>公式</t>
  </si>
  <si>
    <t>生命上限</t>
  </si>
  <si>
    <t>职业基础生命 + 肉身 × 8 + 装备生命</t>
  </si>
  <si>
    <t>HP</t>
  </si>
  <si>
    <t>物理基础伤害</t>
  </si>
  <si>
    <t>力道 × 主倍率 + 神识 × 副倍率</t>
  </si>
  <si>
    <t>伤害</t>
  </si>
  <si>
    <t>法术基础伤害</t>
  </si>
  <si>
    <t>法力 × 主倍率 + 神识 × 副倍率</t>
  </si>
  <si>
    <t>物理减伤</t>
  </si>
  <si>
    <t>护体 / (护体 + K(等级))</t>
  </si>
  <si>
    <t>比例</t>
  </si>
  <si>
    <t>法术减伤</t>
  </si>
  <si>
    <t>定力 / (定力 + K(等级))</t>
  </si>
  <si>
    <t>K(等级)</t>
  </si>
  <si>
    <t>100 + floor(24 × (等级 - 1) / 10)</t>
  </si>
  <si>
    <t>常量</t>
  </si>
  <si>
    <t>行动间隔</t>
  </si>
  <si>
    <t>clamp(基础间隔 × 100 / (100 + 最终遁速), 4, 200)</t>
  </si>
  <si>
    <t>tick</t>
  </si>
  <si>
    <t>最终命中率</t>
  </si>
  <si>
    <t>clamp(命中率 - 闪避率, 50%, 100%)</t>
  </si>
  <si>
    <t>暴击率</t>
  </si>
  <si>
    <t>clamp(5% + 神识 / (神识 + 200) × 25%, 5%, 30%) + 装备暴击</t>
  </si>
  <si>
    <t>暴击伤害</t>
  </si>
  <si>
    <t>150% + 装备暴伤</t>
  </si>
  <si>
    <t>倍率</t>
  </si>
  <si>
    <t>状态命中率</t>
  </si>
  <si>
    <t>clamp(技能基础命中 + (攻方神识 - 守方定力) × 0.3%, 25%, 100%)</t>
  </si>
  <si>
    <t>1.1 四阶段总控基线</t>
  </si>
  <si>
    <t>事实源：16_1.0成长经济与战斗数值_草案.md 第29行</t>
  </si>
  <si>
    <t>阶段</t>
  </si>
  <si>
    <t>合格队伍等级</t>
  </si>
  <si>
    <t>裸装队伍战力</t>
  </si>
  <si>
    <t>标准配装增量</t>
  </si>
  <si>
    <t>推荐队伍战力</t>
  </si>
  <si>
    <t>结算后持续输出</t>
  </si>
  <si>
    <t>普通战标准耐久</t>
  </si>
  <si>
    <t>Boss标准耐久/目标时长</t>
  </si>
  <si>
    <t>地图1</t>
  </si>
  <si>
    <t>Lv5–7</t>
  </si>
  <si>
    <t>360–430</t>
  </si>
  <si>
    <t>60–140</t>
  </si>
  <si>
    <t>380–500</t>
  </si>
  <si>
    <t>70–95/秒</t>
  </si>
  <si>
    <t>1800–3400</t>
  </si>
  <si>
    <t>7000–9000 / 90–120秒</t>
  </si>
  <si>
    <t>地图2</t>
  </si>
  <si>
    <t>Lv10–13</t>
  </si>
  <si>
    <t>530–650</t>
  </si>
  <si>
    <t>180–300</t>
  </si>
  <si>
    <t>650–820</t>
  </si>
  <si>
    <t>120–170/秒</t>
  </si>
  <si>
    <t>3200–5200</t>
  </si>
  <si>
    <t>15000–20000 / 100–150秒</t>
  </si>
  <si>
    <t>地图3</t>
  </si>
  <si>
    <t>Lv18–20</t>
  </si>
  <si>
    <t>800–899</t>
  </si>
  <si>
    <t>320–480</t>
  </si>
  <si>
    <t>1050–1320</t>
  </si>
  <si>
    <t>230–310/秒</t>
  </si>
  <si>
    <t>6500–11000</t>
  </si>
  <si>
    <t>38000–48000 / 120–180秒</t>
  </si>
  <si>
    <t>地图4</t>
  </si>
  <si>
    <t>Lv21–24</t>
  </si>
  <si>
    <t>1003–1132</t>
  </si>
  <si>
    <t>440–720</t>
  </si>
  <si>
    <t>1450–1800</t>
  </si>
  <si>
    <t>380–520/秒</t>
  </si>
  <si>
    <t>9000–16000</t>
  </si>
  <si>
    <t>56000–70000 / 140–190秒</t>
  </si>
  <si>
    <t>4.3 状态统一语义</t>
  </si>
  <si>
    <t>事实源：16_1.0成长经济与战斗数值_草案.md 第293行</t>
  </si>
  <si>
    <t>数值语义</t>
  </si>
  <si>
    <t>叠加</t>
  </si>
  <si>
    <t>护盾</t>
  </si>
  <si>
    <t>先于生命吸收伤害</t>
  </si>
  <si>
    <t>不同来源相加；同来源取较高并刷新</t>
  </si>
  <si>
    <t>加速/迟缓</t>
  </si>
  <si>
    <t>最终行动间隔乘以 (1-加速%) / (1+迟缓%)</t>
  </si>
  <si>
    <t>各取最强，互相抵消后结算</t>
  </si>
  <si>
    <t>聚灵/嘲讽</t>
  </si>
  <si>
    <t>单体技能优先选取最高嘲讽强度者</t>
  </si>
  <si>
    <t>取最高</t>
  </si>
  <si>
    <t>伤害提升</t>
  </si>
  <si>
    <t>最终伤害乘算</t>
  </si>
  <si>
    <t>同来源刷新，不同来源相加，上限 60%</t>
  </si>
  <si>
    <t>破甲/降抗</t>
  </si>
  <si>
    <t>目标护体/定力按百分比降低</t>
  </si>
  <si>
    <t>相加，上限 50%</t>
  </si>
  <si>
    <t>中毒/灼烧</t>
  </si>
  <si>
    <t>每 20 tick 结算一次，伤害由施加者属性快照计算</t>
  </si>
  <si>
    <t>中毒最多 3 层；灼烧取最高并刷新</t>
  </si>
  <si>
    <t>流血</t>
  </si>
  <si>
    <t>每 20 tick 结算；不暴击，忽略护体与定力</t>
  </si>
  <si>
    <t>最多 3 层；同来源刷新，不同来源独立</t>
  </si>
  <si>
    <t>再生</t>
  </si>
  <si>
    <t>每 20 tick 治疗；使用施加时属性快照，不暴击</t>
  </si>
  <si>
    <t>同来源取较高并刷新；不同来源最多 2 个</t>
  </si>
  <si>
    <t>导电</t>
  </si>
  <si>
    <t>本身不造成伤害；为雷系技能提供增伤和连锁依据</t>
  </si>
  <si>
    <t>最多 3 层；新层刷新全部剩余时间</t>
  </si>
  <si>
    <t>弱点</t>
  </si>
  <si>
    <t>把配置的命中/暴击/飞行命中加成给所有攻击者</t>
  </si>
  <si>
    <t>同目标只保留效果较强者并刷新</t>
  </si>
  <si>
    <t>眩晕</t>
  </si>
  <si>
    <t>无法行动，行动计时暂停</t>
  </si>
  <si>
    <t>Boss 同战共享硬控计数：前三次持续 100%/60%/30%，第四次起免疫</t>
  </si>
  <si>
    <t>冻结</t>
  </si>
  <si>
    <t>无法行动，行动计时暂停；只能等待持续结束</t>
  </si>
  <si>
    <t>与眩晕共用同一硬控递减计数</t>
  </si>
  <si>
    <t>缠绕</t>
  </si>
  <si>
    <t>无法行动，不阻止被动效果；只能等待持续结束</t>
  </si>
  <si>
    <t>同上</t>
  </si>
  <si>
    <t>沉默/封灵</t>
  </si>
  <si>
    <t>不能使用带法术/状态标签的技能，可普通攻击</t>
  </si>
  <si>
    <t>取最长</t>
  </si>
  <si>
    <t>恐惧</t>
  </si>
  <si>
    <t>行动就绪时基础 50% 概率延后 20 tick；每次施加最多触发一次</t>
  </si>
  <si>
    <t>持续时间取最长，等待自然结束</t>
  </si>
  <si>
    <t>尸毒</t>
  </si>
  <si>
    <t>中毒类且降低受治疗效果</t>
  </si>
  <si>
    <t>最多 3 层</t>
  </si>
  <si>
    <t>空间错位</t>
  </si>
  <si>
    <t>立即把行动计时增加 30 tick，不再另加持续减速</t>
  </si>
  <si>
    <t>每次命中独立执行；空间错位免疫可阻止此次行动计时增加</t>
  </si>
  <si>
    <t>魔气侵蚀</t>
  </si>
  <si>
    <t>每层造成伤害+4%、受到伤害+6%，地图与战斗跨系统</t>
  </si>
  <si>
    <t>最多 5 层，安全归营清除</t>
  </si>
  <si>
    <t>飞行</t>
  </si>
  <si>
    <t>单位标签，使普通近战最终命中-35%</t>
  </si>
  <si>
    <t>法术、御剑、弱点和明示可对空效果忽略惩罚</t>
  </si>
  <si>
    <t>5.1 魂晶总预算</t>
  </si>
  <si>
    <t>事实源：16_1.0成长经济与战斗数值_草案.md 第344行</t>
  </si>
  <si>
    <t>来源</t>
  </si>
  <si>
    <t>主线节点</t>
  </si>
  <si>
    <t>Boss 首杀</t>
  </si>
  <si>
    <t>四条支线</t>
  </si>
  <si>
    <t>固定精英/首次探索</t>
  </si>
  <si>
    <t>普通敌人预计</t>
  </si>
  <si>
    <t>5.2 普通战斗奖励</t>
  </si>
  <si>
    <t>事实源：16_1.0成长经济与战斗数值_草案.md 第359行</t>
  </si>
  <si>
    <t>地图</t>
  </si>
  <si>
    <t>普通敌群魂晶</t>
  </si>
  <si>
    <t>精英魂晶</t>
  </si>
  <si>
    <t>重复启程刷新收益</t>
  </si>
  <si>
    <t>12–18</t>
  </si>
  <si>
    <t>45–60</t>
  </si>
  <si>
    <t>首次的 50%</t>
  </si>
  <si>
    <t>25–35</t>
  </si>
  <si>
    <t>90–120</t>
  </si>
  <si>
    <t>首次的 45%</t>
  </si>
  <si>
    <t>45–65</t>
  </si>
  <si>
    <t>180–240</t>
  </si>
  <si>
    <t>首次的 40%</t>
  </si>
  <si>
    <t>70–100</t>
  </si>
  <si>
    <t>300–420</t>
  </si>
  <si>
    <t>首次的 35%</t>
  </si>
  <si>
    <t>职业技能数值</t>
  </si>
  <si>
    <t>36 个稳定技能 ID｜炼气 12 个＋八条筑基分支 24 个｜结丹只提升 mastery 数值，不更换 ID</t>
  </si>
  <si>
    <t>路线/职业</t>
  </si>
  <si>
    <t>技能 ID</t>
  </si>
  <si>
    <t>技能名</t>
  </si>
  <si>
    <t>目标</t>
  </si>
  <si>
    <t>基础 I(tick)</t>
  </si>
  <si>
    <t>基础 CD(tick)</t>
  </si>
  <si>
    <t>基础 I(秒)</t>
  </si>
  <si>
    <t>基础 CD(秒)</t>
  </si>
  <si>
    <t>基础数值与效果</t>
  </si>
  <si>
    <t>精通 I(tick)</t>
  </si>
  <si>
    <t>精通 CD(tick)</t>
  </si>
  <si>
    <t>精通 I(秒)</t>
  </si>
  <si>
    <t>精通 CD(秒)</t>
  </si>
  <si>
    <t>结丹精通数值与效果</t>
  </si>
  <si>
    <t>skill_chan_fumo</t>
  </si>
  <si>
    <t>伏魔掌</t>
  </si>
  <si>
    <t>敌单</t>
  </si>
  <si>
    <t>95%力+30%肉物理；目标伤害-8%/60 tick</t>
  </si>
  <si>
    <t/>
  </si>
  <si>
    <t>17_1.0职业技能数值_草案.md 第30行</t>
  </si>
  <si>
    <t>skill_chan_taunt</t>
  </si>
  <si>
    <t>金刚怒目</t>
  </si>
  <si>
    <t>自身</t>
  </si>
  <si>
    <t>嘲讽强度130；受伤-10%、护体与定力+8%/100 tick</t>
  </si>
  <si>
    <t>skill_chan_iron</t>
  </si>
  <si>
    <t>铁衣禅</t>
  </si>
  <si>
    <t>受伤-12%、控制抵抗+15%/120 tick</t>
  </si>
  <si>
    <t>skill_five_strike</t>
  </si>
  <si>
    <t>五行灵击</t>
  </si>
  <si>
    <t>115%法+25%神法术</t>
  </si>
  <si>
    <t>17_1.0职业技能数值_草案.md 第38行</t>
  </si>
  <si>
    <t>skill_five_wave</t>
  </si>
  <si>
    <t>术式震荡</t>
  </si>
  <si>
    <t>敌全</t>
  </si>
  <si>
    <t>65%法+20%神法术；降抗8%/80 tick</t>
  </si>
  <si>
    <t>skill_five_restore</t>
  </si>
  <si>
    <t>五行归元</t>
  </si>
  <si>
    <t>友全</t>
  </si>
  <si>
    <t>中低群疗=34%法+12%神/人；技巧+5%/80 tick</t>
  </si>
  <si>
    <t>skill_talisman_blade</t>
  </si>
  <si>
    <t>飞符化刃</t>
  </si>
  <si>
    <t>105%法+25%神法术</t>
  </si>
  <si>
    <t>17_1.0职业技能数值_草案.md 第46行</t>
  </si>
  <si>
    <t>skill_talisman_restore</t>
  </si>
  <si>
    <t>回元灵符</t>
  </si>
  <si>
    <t>中低群疗=38%法+18%定/人</t>
  </si>
  <si>
    <t>skill_talisman_guard</t>
  </si>
  <si>
    <t>护神金符</t>
  </si>
  <si>
    <t>定力+10%、异常抵抗+8%/100 tick</t>
  </si>
  <si>
    <t>skill_sword_flying</t>
  </si>
  <si>
    <t>飞剑点星</t>
  </si>
  <si>
    <t>105%力+30%神物理；不受飞行命中惩罚</t>
  </si>
  <si>
    <t>17_1.0职业技能数值_草案.md 第54行</t>
  </si>
  <si>
    <t>skill_sword_split</t>
  </si>
  <si>
    <t>剑光分化</t>
  </si>
  <si>
    <t>随机2目标</t>
  </si>
  <si>
    <t>每段65%力+20%神物理；单敌时第二段伤害-20%</t>
  </si>
  <si>
    <t>skill_sword_nurture</t>
  </si>
  <si>
    <t>养剑诀</t>
  </si>
  <si>
    <t>技巧+12%、暴击+8%、加速15%/100 tick</t>
  </si>
  <si>
    <t>筑基/结丹</t>
  </si>
  <si>
    <t>. 金刚禅修</t>
  </si>
  <si>
    <t>护法金身→不动金刚</t>
  </si>
  <si>
    <t>skill_guard_roar</t>
  </si>
  <si>
    <t>狮吼震心</t>
  </si>
  <si>
    <t>嘲讽170，受伤-16%、护/定+12%/120 tick</t>
  </si>
  <si>
    <t>嘲讽200，受伤-22%、护/定+18%/140 tick</t>
  </si>
  <si>
    <t>17_1.0职业技能数值_草案.md 第64行</t>
  </si>
  <si>
    <t>skill_guard_seal</t>
  </si>
  <si>
    <t>镇狱掌印</t>
  </si>
  <si>
    <t>85%力+35%肉物理；伤害-12%/80 tick；35%基础命中眩晕24 tick</t>
  </si>
  <si>
    <t>105%力+45%肉；伤害-16%/100 tick；45%基础命中眩晕28 tick</t>
  </si>
  <si>
    <t>skill_guard_reflect</t>
  </si>
  <si>
    <t>金轮反照</t>
  </si>
  <si>
    <t>持续120 tick；将实际承受的直接伤害35%反给伤害来源，单次上限自身最大HP20%</t>
  </si>
  <si>
    <t>持续140 tick；反伤50%，单次上限最大HP25%</t>
  </si>
  <si>
    <t>魔相力士→三相魔君</t>
  </si>
  <si>
    <t>skill_demon_open</t>
  </si>
  <si>
    <t>魔纹开体</t>
  </si>
  <si>
    <t>伤害+20%、暴击+10%、定力-10%/120 tick</t>
  </si>
  <si>
    <t>伤害+28%、暴击+15%、定力-8%/140 tick</t>
  </si>
  <si>
    <t>17_1.0职业技能数值_草案.md 第75行</t>
  </si>
  <si>
    <t>skill_demon_multi</t>
  </si>
  <si>
    <t>三相轰杀</t>
  </si>
  <si>
    <t>3段×48%力+12%肉物理</t>
  </si>
  <si>
    <t>4段×43%力+14%肉物理</t>
  </si>
  <si>
    <t>skill_demon_drain</t>
  </si>
  <si>
    <t>吞元炼血</t>
  </si>
  <si>
    <t>58%力+20%肉物理；自疗=实际伤害55%，总恢复上限30%HP</t>
  </si>
  <si>
    <t>75%力+25%肉；自疗=实际伤害70%，总恢复上限40%HP</t>
  </si>
  <si>
    <t>. 五行法修</t>
  </si>
  <si>
    <t>雷法术式→九霄雷君</t>
  </si>
  <si>
    <t>skill_thunder_mark</t>
  </si>
  <si>
    <t>引雷落印</t>
  </si>
  <si>
    <t>135%法+35%神；雷印1层/100 tick，最多3层，每层使雷伤+8%</t>
  </si>
  <si>
    <t>155%法+50%神；每层雷伤+12%，命中刷新持续</t>
  </si>
  <si>
    <t>17_1.0职业技能数值_草案.md 第85行</t>
  </si>
  <si>
    <t>skill_thunder_chain</t>
  </si>
  <si>
    <t>雷链追身</t>
  </si>
  <si>
    <t>随机3目标</t>
  </si>
  <si>
    <t>每段65%法+20%神；雷印每层增伤8%；命中至少2敌后35%基础命中使敌全减速15%/80 tick</t>
  </si>
  <si>
    <t>每段78%法+25%神；每层增伤12%；45%基础命中使敌全减速20%/100 tick</t>
  </si>
  <si>
    <t>skill_thunder_restore</t>
  </si>
  <si>
    <t>雷泽回元</t>
  </si>
  <si>
    <t>中低群疗=42%法+15%神/人；技巧+6%/80 tick</t>
  </si>
  <si>
    <t>群疗=55%法+20%神/人；技巧+8%/100 tick</t>
  </si>
  <si>
    <t>蜃景幻法→蜃梦玄君</t>
  </si>
  <si>
    <t>skill_illusion_beguile</t>
  </si>
  <si>
    <t>镜花惑心</t>
  </si>
  <si>
    <t>90%法+35%神；伤害-8%、命中-10%、异常抵抗-8%/80 tick</t>
  </si>
  <si>
    <t>110%法+45%神；伤害-12%、命中-15%、异常抵抗-12%/100 tick</t>
  </si>
  <si>
    <t>17_1.0职业技能数值_草案.md 第95行</t>
  </si>
  <si>
    <t>skill_illusion_dot</t>
  </si>
  <si>
    <t>蜃雾蚀神</t>
  </si>
  <si>
    <t>45%法+20%神；迷神每秒16%法+8%神/100 tick，最多3层</t>
  </si>
  <si>
    <t>55%法+25%神；每层每秒20%法+10%神/120 tick</t>
  </si>
  <si>
    <t>skill_illusion_drain</t>
  </si>
  <si>
    <t>夺念还元</t>
  </si>
  <si>
    <t>敌方减益最多</t>
  </si>
  <si>
    <t>95%法+35%神；每个减益增伤8%；自疗=实际伤害70%，上限30%HP</t>
  </si>
  <si>
    <t>125%法+45%神；每个减益增伤12%；自疗=实际伤害90%，上限40%HP</t>
  </si>
  <si>
    <t>. 玄箓修</t>
  </si>
  <si>
    <t>镇幽符脉→镇魂符君</t>
  </si>
  <si>
    <t>skill_ghost_treasure</t>
  </si>
  <si>
    <t>镇幽符宝</t>
  </si>
  <si>
    <t>105%法+35%神；对鬼物/残魂/尸傀+35%</t>
  </si>
  <si>
    <t>130%法+45%神；对上述目标+55%</t>
  </si>
  <si>
    <t>17_1.0职业技能数值_草案.md 第105行</t>
  </si>
  <si>
    <t>skill_ghost_array</t>
  </si>
  <si>
    <t>诛邪符阵</t>
  </si>
  <si>
    <t>55%法+25%神；对鬼类+30%并附每秒10%法符火/60 tick</t>
  </si>
  <si>
    <t>70%法+30%神；对鬼类+45%，符火每秒15%法/80 tick</t>
  </si>
  <si>
    <t>skill_ghost_restore</t>
  </si>
  <si>
    <t>安魂回元箓</t>
  </si>
  <si>
    <t>中上群疗=58%法+25%定/人；定力+10%/100 tick</t>
  </si>
  <si>
    <t>群疗=70%法+30%定/人；定力+14%/120 tick</t>
  </si>
  <si>
    <t>万象符脉→天元符君</t>
  </si>
  <si>
    <t>skill_myriad_arrow</t>
  </si>
  <si>
    <t>破灵符矢</t>
  </si>
  <si>
    <t>120%法+35%神；降抗10%/80 tick</t>
  </si>
  <si>
    <t>145%法+45%神；降抗15%/100 tick</t>
  </si>
  <si>
    <t>17_1.0职业技能数值_草案.md 第115行</t>
  </si>
  <si>
    <t>skill_myriad_restore</t>
  </si>
  <si>
    <t>六甲增元箓</t>
  </si>
  <si>
    <t>友方最低生命</t>
  </si>
  <si>
    <t>中高单疗=95%法+40%定；仅该目标护体+18%/100 tick</t>
  </si>
  <si>
    <t>单疗=125%法+50%定；仅该目标护体+25%/120 tick</t>
  </si>
  <si>
    <t>skill_myriad_puppet</t>
  </si>
  <si>
    <t>力士符傀</t>
  </si>
  <si>
    <t>召唤</t>
  </si>
  <si>
    <t>召唤生命=120+250%白灵法力+300%白灵定力；嘲讽160/100 tick；存在180 tick</t>
  </si>
  <si>
    <t>生命=160+280%法+340%定；嘲讽190/120 tick；存在200 tick</t>
  </si>
  <si>
    <t>. 剑修</t>
  </si>
  <si>
    <t>青冥剑修→青冥剑君</t>
  </si>
  <si>
    <t>skill_azure_star</t>
  </si>
  <si>
    <t>青冥点星</t>
  </si>
  <si>
    <t>105%力+40%神；暴击+15%；不受飞行命中惩罚</t>
  </si>
  <si>
    <t>120%力+50%神；暴击+20%</t>
  </si>
  <si>
    <t>17_1.0职业技能数值_草案.md 第129行</t>
  </si>
  <si>
    <t>skill_azure_chase</t>
  </si>
  <si>
    <t>分光追影</t>
  </si>
  <si>
    <t>3段×45%力+18%神；每段独立暴击</t>
  </si>
  <si>
    <t>4段×42%力+20%神；前段暴击使后段暴击+5%</t>
  </si>
  <si>
    <t>skill_azure_dot</t>
  </si>
  <si>
    <t>剑煞归流</t>
  </si>
  <si>
    <t>110%力+40%神+剑煞每层25%力；刷新剑煞时间，不清层</t>
  </si>
  <si>
    <t>130%力+50%神+每层30%力；刷新时间</t>
  </si>
  <si>
    <t>玄岳剑修→玄岳剑君</t>
  </si>
  <si>
    <t>skill_heavy_break</t>
  </si>
  <si>
    <t>玄岳破甲</t>
  </si>
  <si>
    <t>155%力+35%神物理；破甲18%/100 tick</t>
  </si>
  <si>
    <t>180%力+45%神；破甲25%/120 tick</t>
  </si>
  <si>
    <t>17_1.0职业技能数值_草案.md 第140行</t>
  </si>
  <si>
    <t>skill_heavy_stun</t>
  </si>
  <si>
    <t>剑脊震岳</t>
  </si>
  <si>
    <t>70%力+20%肉低额物伤；25%基础命中眩晕24 tick</t>
  </si>
  <si>
    <t>85%力+25%肉；30%基础命中眩晕28 tick</t>
  </si>
  <si>
    <t>skill_heavy_sweep</t>
  </si>
  <si>
    <t>横剑断山</t>
  </si>
  <si>
    <t>80%力+25%肉中等物伤</t>
  </si>
  <si>
    <t>100%力+30%肉物伤</t>
  </si>
  <si>
    <t>技能与 Boss 机制对应</t>
  </si>
  <si>
    <t>事实源：17_1.0职业技能数值_草案.md §8</t>
  </si>
  <si>
    <t>需求</t>
  </si>
  <si>
    <t>主解</t>
  </si>
  <si>
    <t>替代解</t>
  </si>
  <si>
    <t>装备容错</t>
  </si>
  <si>
    <t>稳定承伤</t>
  </si>
  <si>
    <t>护法金身嘲讽</t>
  </si>
  <si>
    <t>万象力士符傀；魔相/玄岳高肉身</t>
  </si>
  <si>
    <t>镇魔宝甲、封魔令</t>
  </si>
  <si>
    <t>处理飞行</t>
  </si>
  <si>
    <t>青冥飞剑、法术</t>
  </si>
  <si>
    <t>装备明示对空</t>
  </si>
  <si>
    <t>残翅骨环、镇魔剑胚</t>
  </si>
  <si>
    <t>群体续航</t>
  </si>
  <si>
    <t>镇幽安魂回元箓</t>
  </si>
  <si>
    <t>五行归元、雷泽回元</t>
  </si>
  <si>
    <t>回春玉、太清符印</t>
  </si>
  <si>
    <t>危急单体保护</t>
  </si>
  <si>
    <t>万象六甲增元箓</t>
  </si>
  <si>
    <t>力士符傀吸引后续单体技能</t>
  </si>
  <si>
    <t>清灵囊、黑风定界珠</t>
  </si>
  <si>
    <t>鬼物/残魂</t>
  </si>
  <si>
    <t>镇幽符脉</t>
  </si>
  <si>
    <t>雷法、对鬼装备</t>
  </si>
  <si>
    <t>护魂牌、太清护魂符</t>
  </si>
  <si>
    <t>打断/拆护甲</t>
  </si>
  <si>
    <t>玄岳剑脊震岳/玄岳破甲</t>
  </si>
  <si>
    <t>镇狱掌印、破灵符矢</t>
  </si>
  <si>
    <t>铸灵指环</t>
  </si>
  <si>
    <t>装备品质、器纹预算与掉落</t>
  </si>
  <si>
    <t>非古宝七维只来自器纹；品质由铁胚决定，器纹槽由蓝图决定，装备不存在等级</t>
  </si>
  <si>
    <t>品质倍率</t>
  </si>
  <si>
    <t>输入来自装备数值 §2.1</t>
  </si>
  <si>
    <t>品质</t>
  </si>
  <si>
    <t>qualityMultiplier</t>
  </si>
  <si>
    <t>凡品</t>
  </si>
  <si>
    <t>精制</t>
  </si>
  <si>
    <t>上品</t>
  </si>
  <si>
    <t>珍品</t>
  </si>
  <si>
    <t>法宝</t>
  </si>
  <si>
    <t>器纹结果预算矩阵</t>
  </si>
  <si>
    <t>公式：floor(蓝图每纹预算 × qualityMultiplier)；行衣护体/定力另乘 0.75</t>
  </si>
  <si>
    <t>蓝图阶段</t>
  </si>
  <si>
    <t>槽位</t>
  </si>
  <si>
    <t>基础每纹预算</t>
  </si>
  <si>
    <t>基础</t>
  </si>
  <si>
    <t>武器</t>
  </si>
  <si>
    <t>防具</t>
  </si>
  <si>
    <t>饰品</t>
  </si>
  <si>
    <t>白玉</t>
  </si>
  <si>
    <t>灵宝</t>
  </si>
  <si>
    <t>洞玄</t>
  </si>
  <si>
    <t>通关后</t>
  </si>
  <si>
    <t>打造灵石费</t>
  </si>
  <si>
    <t>制式与特装使用同品质打造费；不含已经炼制器纹的费用</t>
  </si>
  <si>
    <t>打造费（灵石）</t>
  </si>
  <si>
    <t>3.1 模板决定资格、外观与固定属性</t>
  </si>
  <si>
    <t>事实源：18_1.0装备与掉落数值_草案.md 第97行</t>
  </si>
  <si>
    <t>模板组</t>
  </si>
  <si>
    <t>可用类型</t>
  </si>
  <si>
    <t>资格与表现</t>
  </si>
  <si>
    <t>金刚禅器</t>
  </si>
  <si>
    <t>禅杖、金刚轮、降魔杵</t>
  </si>
  <si>
    <t>仅金刚禅修体系使用；不提供七维倾向</t>
  </si>
  <si>
    <t>五行法器</t>
  </si>
  <si>
    <t>法盘、法轮、法镜、灵珠</t>
  </si>
  <si>
    <t>仅五行法修体系使用；不提供七维倾向</t>
  </si>
  <si>
    <t>玄箓符器</t>
  </si>
  <si>
    <t>符匣、法印、箓册、针匣、符鼎</t>
  </si>
  <si>
    <t>仅玄箓修体系使用；不提供七维倾向</t>
  </si>
  <si>
    <t>剑器</t>
  </si>
  <si>
    <t>剑丸、剑匣、剑胚、重锋</t>
  </si>
  <si>
    <t>仅剑修体系使用；不提供七维倾向</t>
  </si>
  <si>
    <t>玄甲</t>
  </si>
  <si>
    <t>锁甲、玄甲、战衣</t>
  </si>
  <si>
    <t>全职业通用</t>
  </si>
  <si>
    <t>法衣</t>
  </si>
  <si>
    <t>道袍、法袍、法衣</t>
  </si>
  <si>
    <t>行衣</t>
  </si>
  <si>
    <t>短衣、行衣、轻袍</t>
  </si>
  <si>
    <t>命中饰品</t>
  </si>
  <si>
    <t>玉佩、指环、护镜、灵囊、骨环中的对应外观</t>
  </si>
  <si>
    <t>全职业通用；固定增加命中</t>
  </si>
  <si>
    <t>闪避饰品</t>
  </si>
  <si>
    <t>全职业通用；固定增加闪避</t>
  </si>
  <si>
    <t>暴击饰品</t>
  </si>
  <si>
    <t>全职业通用；固定增加暴击</t>
  </si>
  <si>
    <t>治疗饰品</t>
  </si>
  <si>
    <t>全职业通用；固定增加治疗</t>
  </si>
  <si>
    <t>状态抵抗饰品</t>
  </si>
  <si>
    <t>全职业通用；固定增加状态抵抗</t>
  </si>
  <si>
    <t>事实源：18_1.0装备与掉落数值_草案.md 第122行</t>
  </si>
  <si>
    <t>饰品模板</t>
  </si>
  <si>
    <t>明心镜·命中</t>
  </si>
  <si>
    <t>+4%</t>
  </si>
  <si>
    <t>+5%</t>
  </si>
  <si>
    <t>+6%</t>
  </si>
  <si>
    <t>+8%</t>
  </si>
  <si>
    <t>+10%</t>
  </si>
  <si>
    <t>流云扣·闪避</t>
  </si>
  <si>
    <t>+3%</t>
  </si>
  <si>
    <t>破军环·暴击</t>
  </si>
  <si>
    <t>回春佩·直接恢复</t>
  </si>
  <si>
    <t>+12%</t>
  </si>
  <si>
    <t>定神珠·状态抵抗</t>
  </si>
  <si>
    <t>3.2 通用器纹允许池</t>
  </si>
  <si>
    <t>事实源：18_1.0装备与掉落数值_草案.md 第134行</t>
  </si>
  <si>
    <t>装备类型</t>
  </si>
  <si>
    <t>可附着器纹</t>
  </si>
  <si>
    <t>禁止/削弱规则</t>
  </si>
  <si>
    <t>所有制式武器</t>
  </si>
  <si>
    <t>力道、法力、神识、遁速、肉身</t>
  </si>
  <si>
    <t>不出现护体、定力</t>
  </si>
  <si>
    <t>所有制式饰品</t>
  </si>
  <si>
    <t>力道、法力、神识、遁速、肉身、护体</t>
  </si>
  <si>
    <t>不出现定力</t>
  </si>
  <si>
    <t>力道、法力、神识、遁速、肉身、定力</t>
  </si>
  <si>
    <t>不出现护体</t>
  </si>
  <si>
    <t>全部七维</t>
  </si>
  <si>
    <t>护体、定力使用0.75削弱系数</t>
  </si>
  <si>
    <t>3.4 旧装备 ID 转制式模板</t>
  </si>
  <si>
    <t>事实源：18_1.0装备与掉落数值_草案.md 第160行</t>
  </si>
  <si>
    <t>保留 ID</t>
  </si>
  <si>
    <t>1.0 制式显示模板</t>
  </si>
  <si>
    <t>类型</t>
  </si>
  <si>
    <t>w01_sword_tiemu</t>
  </si>
  <si>
    <t>铁木重锋</t>
  </si>
  <si>
    <t>w01_orb_juhuo</t>
  </si>
  <si>
    <t>聚火灵珠</t>
  </si>
  <si>
    <t>w01_needles_qingnang</t>
  </si>
  <si>
    <t>青囊针匣</t>
  </si>
  <si>
    <t>w01_daggers_wugang</t>
  </si>
  <si>
    <t>乌钢降魔杵</t>
  </si>
  <si>
    <t>a01_old_mail</t>
  </si>
  <si>
    <t>旧营锁甲</t>
  </si>
  <si>
    <t>a01_dust_robe</t>
  </si>
  <si>
    <t>避尘道袍</t>
  </si>
  <si>
    <t>r01_heart_mirror</t>
  </si>
  <si>
    <t>护心镜</t>
  </si>
  <si>
    <t>r01_spirit_jade</t>
  </si>
  <si>
    <t>引灵玉</t>
  </si>
  <si>
    <t>r01_medicine_pendant</t>
  </si>
  <si>
    <t>药王佩</t>
  </si>
  <si>
    <t>r01_night_buckle</t>
  </si>
  <si>
    <t>夜行扣</t>
  </si>
  <si>
    <t>w02_sword_zhenwen</t>
  </si>
  <si>
    <t>镇纹剑匣</t>
  </si>
  <si>
    <t>w02_disc_sixiang</t>
  </si>
  <si>
    <t>四象法盘</t>
  </si>
  <si>
    <t>w02_cauldron_huiyuan</t>
  </si>
  <si>
    <t>回元符鼎</t>
  </si>
  <si>
    <t>w02_daggers_pozhen</t>
  </si>
  <si>
    <t>破阵金刚轮</t>
  </si>
  <si>
    <t>a02_jade_mail</t>
  </si>
  <si>
    <t>白玉玄甲</t>
  </si>
  <si>
    <t>a02_four_robe</t>
  </si>
  <si>
    <t>四象法衣</t>
  </si>
  <si>
    <t>r02_array_pendant</t>
  </si>
  <si>
    <t>阵眼玉佩</t>
  </si>
  <si>
    <t>r02_cold_ring</t>
  </si>
  <si>
    <t>寒髓环</t>
  </si>
  <si>
    <t>r02_soul_bell</t>
  </si>
  <si>
    <t>追魂铃</t>
  </si>
  <si>
    <t>w03_sword_bixie</t>
  </si>
  <si>
    <t>辟邪剑胚</t>
  </si>
  <si>
    <t>w03_cauldron_baicao</t>
  </si>
  <si>
    <t>百草符鼎</t>
  </si>
  <si>
    <t>w03_blade_wuying</t>
  </si>
  <si>
    <t>无影法镜</t>
  </si>
  <si>
    <t>a03_ancient_mail</t>
  </si>
  <si>
    <t>古修玄甲</t>
  </si>
  <si>
    <t>a03_treasure_robe</t>
  </si>
  <si>
    <t>灵宝法袍</t>
  </si>
  <si>
    <t>w04_cauldron_taiqing</t>
  </si>
  <si>
    <t>太清符鼎</t>
  </si>
  <si>
    <t>w04_blade_bimo</t>
  </si>
  <si>
    <t>辟魔金刚轮</t>
  </si>
  <si>
    <t>4.1 完整装备出现率</t>
  </si>
  <si>
    <t>事实源：18_1.0装备与掉落数值_草案.md 第198行</t>
  </si>
  <si>
    <t>完整装备规则</t>
  </si>
  <si>
    <t>普通敌群</t>
  </si>
  <si>
    <t>胜利后 6% 概率生成 1 件当前地图制式装备</t>
  </si>
  <si>
    <t>精英首次击杀</t>
  </si>
  <si>
    <t>固定生成 1 件；重复击杀 18% 概率生成 1 件</t>
  </si>
  <si>
    <t>固定生成 2 件；不固定职业、槽位和属性</t>
  </si>
  <si>
    <t>普通宝箱</t>
  </si>
  <si>
    <t>35% 概率为制式装备，否则为材料或灵石</t>
  </si>
  <si>
    <t>隐藏宝箱/高危区宝箱</t>
  </si>
  <si>
    <t>固定生成 1 件，不固定具体模板</t>
  </si>
  <si>
    <t>1.0资源副本</t>
  </si>
  <si>
    <t>核心奖励为灵石或魂晶；低概率附加凡品至上品制式装备，概率与品质上限低于同档精英、Boss和高危宝箱</t>
  </si>
  <si>
    <t>4.2 生成装备后的品质分布</t>
  </si>
  <si>
    <t>事实源：18_1.0装备与掉落数值_草案.md 第215行</t>
  </si>
  <si>
    <t>古宝</t>
  </si>
  <si>
    <t>地图 1</t>
  </si>
  <si>
    <t>地图 2</t>
  </si>
  <si>
    <t>地图 3</t>
  </si>
  <si>
    <t>地图 4</t>
  </si>
  <si>
    <t>6.1 铁胚</t>
  </si>
  <si>
    <t>事实源：18_1.0装备与掉落数值_草案.md 第326行</t>
  </si>
  <si>
    <t>铁胚</t>
  </si>
  <si>
    <t>玄铁</t>
  </si>
  <si>
    <t>庚精</t>
  </si>
  <si>
    <t>产出</t>
  </si>
  <si>
    <t>6.5 重铸与分解边界</t>
  </si>
  <si>
    <t>事实源：18_1.0装备与掉落数值_草案.md 第372行</t>
  </si>
  <si>
    <t>器灵残片</t>
  </si>
  <si>
    <t>特定装备与古宝</t>
  </si>
  <si>
    <t>非古宝特装仍使用器纹获得七维；古宝七维与效果固定，不能打造、附纹或分解</t>
  </si>
  <si>
    <t>5.2 上品特定装备</t>
  </si>
  <si>
    <t>事实源：18_1.0装备与掉落数值_草案.md 第252行</t>
  </si>
  <si>
    <t>ID/名称</t>
  </si>
  <si>
    <t>每纹预算</t>
  </si>
  <si>
    <t>固定效果</t>
  </si>
  <si>
    <t>七维池覆盖</t>
  </si>
  <si>
    <t>r01_guard_token 护法令碎片</t>
  </si>
  <si>
    <t>嘲讽强度+20；金轮反照反伤+5个百分点</t>
  </si>
  <si>
    <t>允许护体、定力</t>
  </si>
  <si>
    <t>守门石灵首杀</t>
  </si>
  <si>
    <t>r01_talisman_pendant 符心佩</t>
  </si>
  <si>
    <t>直接恢复+6%</t>
  </si>
  <si>
    <t>无</t>
  </si>
  <si>
    <t>顾南炉救援</t>
  </si>
  <si>
    <t>r02_thunder_bead 雷纹珠</t>
  </si>
  <si>
    <t>雷印每层雷伤加成额外+2个百分点</t>
  </si>
  <si>
    <t>东阵眼导雷</t>
  </si>
  <si>
    <t>r02_mirage_ring 蜃光环</t>
  </si>
  <si>
    <t>迷神 DoT+8%；镜花惑心减益命中+8%</t>
  </si>
  <si>
    <t>西阵眼幻境</t>
  </si>
  <si>
    <t>r02_clear_pouch 清灵囊</t>
  </si>
  <si>
    <t>直接恢复+5%；尸毒治疗抑制降低10个百分点</t>
  </si>
  <si>
    <t>允许定力</t>
  </si>
  <si>
    <t>木魅庭院隐藏救援</t>
  </si>
  <si>
    <t>5.3 珍品特定装备</t>
  </si>
  <si>
    <t>事实源：18_1.0装备与掉落数值_草案.md 第264行</t>
  </si>
  <si>
    <t>确定来源/任务链</t>
  </si>
  <si>
    <t>w03_vajra_soul 镇邪禅珠</t>
  </si>
  <si>
    <t>金轮反照反伤+8个百分点；吞元炼血伤害转疗+10个百分点</t>
  </si>
  <si>
    <t>灵宝阁守卫→禅珠残片→铸灵炉复原</t>
  </si>
  <si>
    <t>w03_wheel_wuhuo 五火法轮</t>
  </si>
  <si>
    <t>直接法伤35%基础命中附加每秒10%法灼烧/60 tick</t>
  </si>
  <si>
    <t>真假灵宝→取得火轮残胚→熔炉重启</t>
  </si>
  <si>
    <t>w03_talisman_zhenyou 镇幽符匣</t>
  </si>
  <si>
    <t>对鬼类伤害+15%；直接恢复+10%</t>
  </si>
  <si>
    <t>三老碑文→四象阵砂→安置残魂</t>
  </si>
  <si>
    <t>w03_sword_lingbao 铸灵剑胚</t>
  </si>
  <si>
    <t>青冥暴击后行动间隔-10%；玄岳首次破甲延长40 tick</t>
  </si>
  <si>
    <t>允许护体</t>
  </si>
  <si>
    <t>失控剑灵→剑灵锋→修复剑炉</t>
  </si>
  <si>
    <t>r03_soul_tablet 护魂牌</t>
  </si>
  <si>
    <t>恐惧状态命中-20%</t>
  </si>
  <si>
    <t>五鬼伏击→完成至少一魂遗愿→封存残魂或击退韩枭</t>
  </si>
  <si>
    <t>r03_storage_buckle 须弥扣</t>
  </si>
  <si>
    <t>负重+25</t>
  </si>
  <si>
    <t>允许肉身、护体</t>
  </si>
  <si>
    <t>本命元牌完整支线</t>
  </si>
  <si>
    <t>r03_forge_ring 铸灵指环</t>
  </si>
  <si>
    <t>对护盾目标伤害+12%</t>
  </si>
  <si>
    <t>铸灵堂核心支线</t>
  </si>
  <si>
    <t>r03_insight_lens 洞玄镜片</t>
  </si>
  <si>
    <t>DoT伤害+6%；机关探查神识+10</t>
  </si>
  <si>
    <t>真假灵宝→识破空间宝匣；或本命元牌交化仙宗保管</t>
  </si>
  <si>
    <t>r03_spring_jade 回春玉</t>
  </si>
  <si>
    <t>直接恢复+10%</t>
  </si>
  <si>
    <t>化仙宗遗命中段</t>
  </si>
  <si>
    <t>r04_wing_ring 残翅骨环</t>
  </si>
  <si>
    <t>命中+8%；对飞行目标伤害+12%</t>
  </si>
  <si>
    <t>银翅残羽首杀开放净化节点→最终Boss战后取残翅本源</t>
  </si>
  <si>
    <t>r04_core_pendant 凝金玉佩</t>
  </si>
  <si>
    <t>筑基定型的三个核心技能属性倍率+5个百分点</t>
  </si>
  <si>
    <t>个人结丹试炼；配方可打造4件</t>
  </si>
  <si>
    <t>r04_pure_talisman 太清护魂符</t>
  </si>
  <si>
    <t>DoT伤害-15%；恐惧状态命中-20%</t>
  </si>
  <si>
    <t>化仙宗遗命最终节点；或五鬼袋净化节点</t>
  </si>
  <si>
    <t>r04_seal_order 封魔令</t>
  </si>
  <si>
    <t>魔气状态命中-20%；魔气侵蚀的受伤增幅减半</t>
  </si>
  <si>
    <t>三条封链主线汇流</t>
  </si>
  <si>
    <t>r04_five_ghost_ring 五鬼噬灵环</t>
  </si>
  <si>
    <t>直接攻击20%基础命中附加定力-10%/80 tick</t>
  </si>
  <si>
    <t>五鬼袋→至少三魂遗愿→选择炼成法器</t>
  </si>
  <si>
    <t>5.4 乌婆Boss魂器</t>
  </si>
  <si>
    <t>事实源：18_1.0装备与掉落数值_草案.md 第288行</t>
  </si>
  <si>
    <t>模板/槽位</t>
  </si>
  <si>
    <t>固定附着器纹</t>
  </si>
  <si>
    <t>直接来源</t>
  </si>
  <si>
    <t>a02_soul_banner_mail 封坛军魂甲</t>
  </si>
  <si>
    <t>玄甲/防具</t>
  </si>
  <si>
    <t>肉身、护体</t>
  </si>
  <si>
    <t>尸毒造成的治疗降低效果减少10个百分点；受到敌方召唤单位伤害-8%</t>
  </si>
  <si>
    <t>封坛尸将魂魄交付乌婆</t>
  </si>
  <si>
    <t>a04_soul_wing_robe 银翅魂衣</t>
  </si>
  <si>
    <t>行衣/防具</t>
  </si>
  <si>
    <t>神识、遁速</t>
  </si>
  <si>
    <t>攻击飞行目标时受到的普通命中惩罚减少15个百分点；迟缓幅度降低20%</t>
  </si>
  <si>
    <t>银翅尸煞魂魄交付乌婆</t>
  </si>
  <si>
    <t>5.5 古宝特定装备</t>
  </si>
  <si>
    <t>事实源：18_1.0装备与掉落数值_草案.md 第302行</t>
  </si>
  <si>
    <t>固定七维（力/法/神/速/肉/护/定）</t>
  </si>
  <si>
    <t>直接获得条件</t>
  </si>
  <si>
    <t>w04_vajra_zhenmo 镇魔金刚杵</t>
  </si>
  <si>
    <t>护法线嘲讽+25、金轮反照+12%；魔相线伤害转疗+12%</t>
  </si>
  <si>
    <t>34/0/12/0/32/28/14</t>
  </si>
  <si>
    <t>镇邪禅珠+修复镇尸链+金身尸卫残骨+金刚禅修个人结丹试炼</t>
  </si>
  <si>
    <t>w04_mirror_leihuo 八门雷火镜</t>
  </si>
  <si>
    <t>对尸煞/魔气+15%；群攻每多命中1敌增伤3%，上限9%</t>
  </si>
  <si>
    <t>0/36/32/18/8/6/20</t>
  </si>
  <si>
    <t>五火法轮+修复锁魂链+封魂间火种+五行法修个人结丹试炼</t>
  </si>
  <si>
    <t>w04_talisman_taiqing 太清符印</t>
  </si>
  <si>
    <t>镇幽首次群疗+25%；万象首次单疗或符傀生命+25%；其余恢复+10%</t>
  </si>
  <si>
    <t>0/30/30/8/16/10/26</t>
  </si>
  <si>
    <t>镇幽符匣+化仙宗遗命“木青萝留营”结局+玄箓修个人结丹试炼</t>
  </si>
  <si>
    <t>w04_sword_tiangang 天罡镇魔剑胚</t>
  </si>
  <si>
    <t>青冥不受飞行惩罚且对飞行+10%；玄岳破甲+5个百分点</t>
  </si>
  <si>
    <t>32/0/36/30/10/8/4</t>
  </si>
  <si>
    <t>铸灵剑胚+残翎核心+修复镇魔剑炉+剑修个人结丹试炼</t>
  </si>
  <si>
    <t>a04_demon_mail 镇魔宝甲</t>
  </si>
  <si>
    <t>尸毒与魔气状态命中-20%</t>
  </si>
  <si>
    <t>12/0/10/0/38/42/28</t>
  </si>
  <si>
    <t>三条封链均修复+金身尸卫核心+古修甲片</t>
  </si>
  <si>
    <t>a04_pure_robe 清虚法衣</t>
  </si>
  <si>
    <t>恐惧与空间错位效果降低30%</t>
  </si>
  <si>
    <t>0/26/24/18/18/8/36</t>
  </si>
  <si>
    <t>化仙宗遗命+结丹祭坛+封魂间清气</t>
  </si>
  <si>
    <t>r04_space_bead 黑风定界珠</t>
  </si>
  <si>
    <t>空间错位免疫；每战一次抵消行动条击退</t>
  </si>
  <si>
    <t>10/12/28/30/16/8/16</t>
  </si>
  <si>
    <t>黑风封路→击败黑风旗影→修复定界链→回收珠核</t>
  </si>
  <si>
    <t>普通敌人与精英标准化面板</t>
  </si>
  <si>
    <t>七维顺序统一拆列；魂晶按首次/重复拆列；缺少稳定 ID 的策划定义保持为空，不擅自补 ID</t>
  </si>
  <si>
    <t>层级</t>
  </si>
  <si>
    <t>名称</t>
  </si>
  <si>
    <t>Lv</t>
  </si>
  <si>
    <t>七维战力</t>
  </si>
  <si>
    <t>首次魂晶</t>
  </si>
  <si>
    <t>重复魂晶</t>
  </si>
  <si>
    <t>技能/机制</t>
  </si>
  <si>
    <t>材料/掉落</t>
  </si>
  <si>
    <t>备注</t>
  </si>
  <si>
    <t>普通</t>
  </si>
  <si>
    <t>m1_rubble_rat</t>
  </si>
  <si>
    <t>噬灵鼠</t>
  </si>
  <si>
    <t>啮咬90%力；优先最低生命；30%命中附迟缓10%/40tick</t>
  </si>
  <si>
    <t>兽皮1–2</t>
  </si>
  <si>
    <t>19_1.0敌人与Boss战斗数值_草案.md 第30行</t>
  </si>
  <si>
    <t>m1_stone_wisp</t>
  </si>
  <si>
    <t>碎岩灵</t>
  </si>
  <si>
    <t>石片95%力；每60tick获得120点盾；优先当前目标</t>
  </si>
  <si>
    <t>碎石核1</t>
  </si>
  <si>
    <t>m1_corpse_scout</t>
  </si>
  <si>
    <t>游荡尸兵</t>
  </si>
  <si>
    <t>锈刃105%力；尸爪75%力并附每秒3点尸毒/60tick</t>
  </si>
  <si>
    <t>尸煞骨1</t>
  </si>
  <si>
    <t>m1_array_glow</t>
  </si>
  <si>
    <t>残阵灵光</t>
  </si>
  <si>
    <t>灵闪105%法+20%神；封灵光60%法、沉默20tick/CD120</t>
  </si>
  <si>
    <t>残符1–2</t>
  </si>
  <si>
    <t>m1_stone_guard</t>
  </si>
  <si>
    <t>石甲守卫</t>
  </si>
  <si>
    <t>重拳110%力；生命&lt;50%使用350点盾/CD140</t>
  </si>
  <si>
    <t>玄铁1–2</t>
  </si>
  <si>
    <t>精英</t>
  </si>
  <si>
    <t>e1_cracked_guard</t>
  </si>
  <si>
    <t>裂甲石卫</t>
  </si>
  <si>
    <t>碎岳拳125%力；震地55%力全体/CD100；受物理攻击3次后反震35%力，法伤可清计数</t>
  </si>
  <si>
    <t>石卫甲片2、玄铁4</t>
  </si>
  <si>
    <t>19_1.0敌人与Boss战斗数值_草案.md 第43行</t>
  </si>
  <si>
    <t>e1_banner_corpse</t>
  </si>
  <si>
    <t>尸煞执旗者</t>
  </si>
  <si>
    <t>尸旗使同伴伤害+15%；鬼火95%法；每秒5点尸毒/80tick；先杀旗手可解除增益</t>
  </si>
  <si>
    <t>破旗1、归营符残纸</t>
  </si>
  <si>
    <t>m2_jade_corpse</t>
  </si>
  <si>
    <t>白玉尸兵</t>
  </si>
  <si>
    <t>玉刃115%力；尸毒每秒6点/80tick</t>
  </si>
  <si>
    <t>尸煞骨2</t>
  </si>
  <si>
    <t>19_1.0敌人与Boss战斗数值_草案.md 第73行</t>
  </si>
  <si>
    <t>m2_vine</t>
  </si>
  <si>
    <t>缠魂藤</t>
  </si>
  <si>
    <t>藤刺95%法；缠绕24tick/CD100，优先最高遁速</t>
  </si>
  <si>
    <t>缠魂藤1–2</t>
  </si>
  <si>
    <t>m2_wood_sprite</t>
  </si>
  <si>
    <t>木魅幼体</t>
  </si>
  <si>
    <t>汲灵105%法+20%神并治疗自身伤害30%；生命低于40%先用</t>
  </si>
  <si>
    <t>木魅心1</t>
  </si>
  <si>
    <t>m2_array_serpent</t>
  </si>
  <si>
    <t>阵纹灵蛇</t>
  </si>
  <si>
    <t>灵咬90%法+25%神；迟缓15%/80tick；优先无迟缓目标</t>
  </si>
  <si>
    <t>阵纹鳞1</t>
  </si>
  <si>
    <t>m2_spell_shadow</t>
  </si>
  <si>
    <t>残禁法影</t>
  </si>
  <si>
    <t>禁光110%法；降抗12%/80tick；沉默20tick/CD140</t>
  </si>
  <si>
    <t>残符2</t>
  </si>
  <si>
    <t>复生尸卫</t>
  </si>
  <si>
    <t>第一次死亡后5秒复生至35%生命；战前或倒计时内破坏HP1000魂灯阻止</t>
  </si>
  <si>
    <t>尸卫甲片3</t>
  </si>
  <si>
    <t>19_1.0敌人与Boss战斗数值_草案.md 第83行</t>
  </si>
  <si>
    <t>稳定 ID 待内容表补齐</t>
  </si>
  <si>
    <t>噬法木魅</t>
  </si>
  <si>
    <t>每次法伤吸取施术者5%当前生命；物理暴击可打断80tick</t>
  </si>
  <si>
    <t>木魅妖心2</t>
  </si>
  <si>
    <t>四象阵灵</t>
  </si>
  <si>
    <t>每25%生命切换物免20%/法免20%；切换预警1秒</t>
  </si>
  <si>
    <t>四象阵砂2</t>
  </si>
  <si>
    <t>断刃器灵</t>
  </si>
  <si>
    <t>双斩2×65%力+20%神；优先最低生命</t>
  </si>
  <si>
    <t>器灵残片1</t>
  </si>
  <si>
    <t>19_1.0敌人与Boss战斗数值_草案.md 第111行</t>
  </si>
  <si>
    <t>铸灵铜傀</t>
  </si>
  <si>
    <t>铜拳125%力；每100tick获得600盾</t>
  </si>
  <si>
    <t>玄铁3</t>
  </si>
  <si>
    <t>夺宝散修</t>
  </si>
  <si>
    <t>随机使用剑诀105%力或火符105%法；生命&lt;30%尝试逃跑</t>
  </si>
  <si>
    <t>灵石30–45</t>
  </si>
  <si>
    <t>阴罗宗鬼卒</t>
  </si>
  <si>
    <t>鬼爪100%法+25%神；恐惧20%/20tick</t>
  </si>
  <si>
    <t>鬼道残页1</t>
  </si>
  <si>
    <t>吞金兽</t>
  </si>
  <si>
    <t>吞铁115%力；若玩家有护盾则伤害+20%并吸收同量护盾</t>
  </si>
  <si>
    <t>庚精1</t>
  </si>
  <si>
    <t>灵宝阁守卫</t>
  </si>
  <si>
    <t>物/法护罩每120tick切换；错误类型为其恢复3%生命</t>
  </si>
  <si>
    <t>古禁令1；首杀禅珠残片1</t>
  </si>
  <si>
    <t>19_1.0敌人与Boss战斗数值_草案.md 第121行</t>
  </si>
  <si>
    <t>阴罗宗长老分魂</t>
  </si>
  <si>
    <t>五鬼随机3段48%法+20%神；恐惧；无视嘲讽</t>
  </si>
  <si>
    <t>五鬼袋残片1</t>
  </si>
  <si>
    <t>失控剑灵</t>
  </si>
  <si>
    <t>每次暴击加速8%，最多5层；眩晕可清层</t>
  </si>
  <si>
    <t>首杀剑灵锋1</t>
  </si>
  <si>
    <t>熔炉石傀</t>
  </si>
  <si>
    <t>每20秒过热，全体70%力+40%法；破盾可延后</t>
  </si>
  <si>
    <t>铸灵核心碎片2</t>
  </si>
  <si>
    <t>银甲尸</t>
  </si>
  <si>
    <t>尸爪125%力；尸毒每秒12点；高护体</t>
  </si>
  <si>
    <t>银甲片1</t>
  </si>
  <si>
    <t>19_1.0敌人与Boss战斗数值_草案.md 第152行</t>
  </si>
  <si>
    <t>封链魔灵</t>
  </si>
  <si>
    <t>封灵90%法+沉默24tick；优先法力最高</t>
  </si>
  <si>
    <t>封链碎片1</t>
  </si>
  <si>
    <t>摄魂残影</t>
  </si>
  <si>
    <t>摄魂105%法+35%神无视嘲讽；恐惧30%</t>
  </si>
  <si>
    <t>残魂1</t>
  </si>
  <si>
    <t>魔化石兽</t>
  </si>
  <si>
    <t>冲撞130%力+眩晕；生命40%狂暴伤害+25%</t>
  </si>
  <si>
    <t>魔化石核1</t>
  </si>
  <si>
    <t>裂隙化形</t>
  </si>
  <si>
    <t>空间割裂115%法；空间错位使行动条+30tick</t>
  </si>
  <si>
    <t>裂隙尘1</t>
  </si>
  <si>
    <t>金身尸卫</t>
  </si>
  <si>
    <t>生命50%获2500盾；盾存在吸血25%；法伤破盾效率+25%</t>
  </si>
  <si>
    <t>庚精3；首杀金身尸卫残骨、金身尸卫核心、古修甲片各1</t>
  </si>
  <si>
    <t>19_1.0敌人与Boss战斗数值_草案.md 第162行</t>
  </si>
  <si>
    <t>黑风旗影</t>
  </si>
  <si>
    <t>每80tick空间错位1人；定界珠免疫；无视嘲讽群攻</t>
  </si>
  <si>
    <t>黑风丝1</t>
  </si>
  <si>
    <t>魔气寄生体</t>
  </si>
  <si>
    <t>寄生最低生命；5秒不击破1200HP寄生核则治疗自身2500</t>
  </si>
  <si>
    <t>魔髓碎屑2</t>
  </si>
  <si>
    <t>镇塔狱卒</t>
  </si>
  <si>
    <t>处刑标记最低生命；4秒后180%力，护盾可吸收</t>
  </si>
  <si>
    <t>镇塔令片1</t>
  </si>
  <si>
    <t>银翅残羽</t>
  </si>
  <si>
    <t>飞行；三段羽刃3×42%神+20%速；青冥飞剑/法术克制</t>
  </si>
  <si>
    <t>残翎1；首杀残翎核心1并开放残翅骨环净化节点</t>
  </si>
  <si>
    <t>主线 Boss 面板与技能</t>
  </si>
  <si>
    <t>Boss 耐久需同时考虑主体、护盾、复生、部件、召唤与固定治疗；下表分项记录</t>
  </si>
  <si>
    <t>Boss</t>
  </si>
  <si>
    <t>主体 HP</t>
  </si>
  <si>
    <t>附加部件/召唤 HP</t>
  </si>
  <si>
    <t>首杀魂晶</t>
  </si>
  <si>
    <t>主要固定奖励</t>
  </si>
  <si>
    <t>逃生</t>
  </si>
  <si>
    <t>守门石灵</t>
  </si>
  <si>
    <t>石灵核心；两件地图1制式装备</t>
  </si>
  <si>
    <t>70%后开放</t>
  </si>
  <si>
    <t>封坛尸将</t>
  </si>
  <si>
    <t>封坛令；筑基灵石1200；两件上品；唯一魂魄</t>
  </si>
  <si>
    <t>60%后开放</t>
  </si>
  <si>
    <t>四臂铸灵傀</t>
  </si>
  <si>
    <t>铸灵核心；凝丹灵草4；灵晶60；灵石4800</t>
  </si>
  <si>
    <t>银翅夜叉·尸煞化身</t>
  </si>
  <si>
    <t>镇魔残翅；古宝残片；两件地图4制式装备；唯一魂魄</t>
  </si>
  <si>
    <t>阶段三锁定</t>
  </si>
  <si>
    <t>Boss 技能与阶段</t>
  </si>
  <si>
    <t>事实源：19_1.0敌人与Boss战斗数值_草案.md</t>
  </si>
  <si>
    <t>技能/部件</t>
  </si>
  <si>
    <t>I/CD</t>
  </si>
  <si>
    <t>基础数值</t>
  </si>
  <si>
    <t>规则</t>
  </si>
  <si>
    <t>全阶段</t>
  </si>
  <si>
    <t>岩拳</t>
  </si>
  <si>
    <t>28/0</t>
  </si>
  <si>
    <t>120%力+20%肉物理单体</t>
  </si>
  <si>
    <t>受嘲讽；优先最高当前生命</t>
  </si>
  <si>
    <t>19_1.0敌人与Boss战斗数值_草案.md 第53行</t>
  </si>
  <si>
    <t>裂地震</t>
  </si>
  <si>
    <t>38/120</t>
  </si>
  <si>
    <t>58%力+15%肉物理全体</t>
  </si>
  <si>
    <t>无视嘲讽；预警0.8秒；附流血每秒4点/60tick</t>
  </si>
  <si>
    <t>石灵金身</t>
  </si>
  <si>
    <t>34/160</t>
  </si>
  <si>
    <t>护盾900</t>
  </si>
  <si>
    <t>生命75%和35%各强制一次；盾存在时护体+20</t>
  </si>
  <si>
    <t>反震石纹</t>
  </si>
  <si>
    <t>被动</t>
  </si>
  <si>
    <t>40%力物理</t>
  </si>
  <si>
    <t>每累计3次物理直击触发；法术直击清除1层计数；反击不递归</t>
  </si>
  <si>
    <t>尸将斩</t>
  </si>
  <si>
    <t>27/0</t>
  </si>
  <si>
    <t>130%力+25%神物理</t>
  </si>
  <si>
    <t>受嘲讽；目标有尸毒时增伤15%</t>
  </si>
  <si>
    <t>19_1.0敌人与Boss战斗数值_草案.md 第94行</t>
  </si>
  <si>
    <t>尸毒军阵</t>
  </si>
  <si>
    <t>36/140</t>
  </si>
  <si>
    <t>55%法+20%神法术全体</t>
  </si>
  <si>
    <t>预警1秒；尸毒每秒8%法、80tick，治疗-10%，最多3层</t>
  </si>
  <si>
    <t>招魂号令</t>
  </si>
  <si>
    <t>34/200</t>
  </si>
  <si>
    <t>无直接伤害</t>
  </si>
  <si>
    <t>魂旗存活时召回2名HP750尸兵；场上最多2名</t>
  </si>
  <si>
    <t>军魂不灭</t>
  </si>
  <si>
    <t>—</t>
  </si>
  <si>
    <t>主体首次降至1生命时，若魂旗存活则消耗魂旗恢复3000HP；魂旗提前击破则失效</t>
  </si>
  <si>
    <t>战臂·碎岳</t>
  </si>
  <si>
    <t>26/0</t>
  </si>
  <si>
    <t>125%力物理单体</t>
  </si>
  <si>
    <t>受嘲讽；战臂毁坏后禁用</t>
  </si>
  <si>
    <t>19_1.0敌人与Boss战斗数值_草案.md 第133行</t>
  </si>
  <si>
    <t>法臂·熔光</t>
  </si>
  <si>
    <t>34/100</t>
  </si>
  <si>
    <t>72%法+25%神法术全体</t>
  </si>
  <si>
    <t>预警0.8秒；法臂毁坏后禁用</t>
  </si>
  <si>
    <t>守臂·两仪罩</t>
  </si>
  <si>
    <t>36/160</t>
  </si>
  <si>
    <t>护盾3000</t>
  </si>
  <si>
    <t>在物理罩/法术罩间切换，对应类型减伤35%；守臂毁坏后禁用</t>
  </si>
  <si>
    <t>铸臂·回炉</t>
  </si>
  <si>
    <t>40/180</t>
  </si>
  <si>
    <t>核心治疗1800或复活一条已毁手臂至1000HP</t>
  </si>
  <si>
    <t>预警1.2秒，可用眩晕打断；铸臂毁坏后禁用</t>
  </si>
  <si>
    <t>熔炉过载</t>
  </si>
  <si>
    <t>每秒18%力+18%法全体，持续5秒</t>
  </si>
  <si>
    <t>核心30%触发；5秒内击破任一存活手臂或控制核心可中断</t>
  </si>
  <si>
    <t>阶段一：尸煞（100%–71%）</t>
  </si>
  <si>
    <t>夜叉爪</t>
  </si>
  <si>
    <t>22/0</t>
  </si>
  <si>
    <t>2段，每段72%力+18%神物理</t>
  </si>
  <si>
    <t>受嘲讽；每段附1层尸毒，基础命中65%</t>
  </si>
  <si>
    <t>19_1.0敌人与Boss战斗数值_草案.md 第178行</t>
  </si>
  <si>
    <t>尸煞吐息</t>
  </si>
  <si>
    <t>34/140</t>
  </si>
  <si>
    <t>62%法+25%神法术全体</t>
  </si>
  <si>
    <t>预警1秒；尸毒每秒10%法/100tick，治疗-10%/层</t>
  </si>
  <si>
    <t>啖血</t>
  </si>
  <si>
    <t>30/120</t>
  </si>
  <si>
    <t>115%力物理最低生命</t>
  </si>
  <si>
    <t>伤害35%治疗自身；目标有尸毒每层增伤8%；无视嘲讽</t>
  </si>
  <si>
    <t>阶段二：银翅（70%–31%）</t>
  </si>
  <si>
    <t>银羽裂空</t>
  </si>
  <si>
    <t>24/0</t>
  </si>
  <si>
    <t>随机3段，每段48%神+25%速物理</t>
  </si>
  <si>
    <t>可重复目标；无视嘲讽</t>
  </si>
  <si>
    <t>19_1.0敌人与Boss战斗数值_草案.md 第190行</t>
  </si>
  <si>
    <t>翼风压阵</t>
  </si>
  <si>
    <t>58%法+25%神全体</t>
  </si>
  <si>
    <t>迟缓25%/100tick；预警1秒</t>
  </si>
  <si>
    <t>掠影俯冲</t>
  </si>
  <si>
    <t>145%力+35%速物理单体</t>
  </si>
  <si>
    <t>选择神识最高者；受到剑煞归流或雷链追身后的下次俯冲命中使Boss落地40tick，受到伤害+15%</t>
  </si>
  <si>
    <t>阶段三：残蜕（30%–0%）</t>
  </si>
  <si>
    <t>群体恐惧</t>
  </si>
  <si>
    <t>预警1.5秒；全体恐惧，基础命中75%，持续40tick</t>
  </si>
  <si>
    <t>19_1.0敌人与Boss战斗数值_草案.md 第203行</t>
  </si>
  <si>
    <t>残翅斩</t>
  </si>
  <si>
    <t>28/80</t>
  </si>
  <si>
    <t>165%力+45%神物理单体</t>
  </si>
  <si>
    <t>预警1秒；残羽每存活1枚额外+15%；受嘲讽</t>
  </si>
  <si>
    <t>尸爆</t>
  </si>
  <si>
    <t>死亡触发</t>
  </si>
  <si>
    <t>每枚45%法全体</t>
  </si>
  <si>
    <t>残羽死亡后1秒爆炸；可用护盾承受，不能打断</t>
  </si>
  <si>
    <t>魔魂回响</t>
  </si>
  <si>
    <t>120tick后</t>
  </si>
  <si>
    <t>全体每秒固定35伤害</t>
  </si>
  <si>
    <t>狂暴软时限；不受减伤，护盾可吸收</t>
  </si>
  <si>
    <t>炼器坊升级、配方与永久强化</t>
  </si>
  <si>
    <t>1.0 完成结丹只要求炼器坊 3 级；高阶突破物在 1.0 仅冻结名称与坊级</t>
  </si>
  <si>
    <t>坊级</t>
  </si>
  <si>
    <t>升至本级灵木</t>
  </si>
  <si>
    <t>累计灵木</t>
  </si>
  <si>
    <t>解锁内容</t>
  </si>
  <si>
    <t>【基础】凡品铁胚、随机器纹、开山镐；【武器】乌钢降魔杵、聚火灵珠、青囊符匣、铁木剑胚；【防具】行衣；【饰品】明心镜（命中）</t>
  </si>
  <si>
    <t>【符箓】归营符</t>
  </si>
  <si>
    <t>【突破】降尘丹（结丹）</t>
  </si>
  <si>
    <t>【探索】探灵灯一阶，永久扩大一次探查范围</t>
  </si>
  <si>
    <t>【探索】行营阵盘一阶，每次入山休整次数永久增加1次</t>
  </si>
  <si>
    <t>【防具】法衣</t>
  </si>
  <si>
    <t>【基础】精制铁胚</t>
  </si>
  <si>
    <t>【突破】凝婴玉髓（元婴）</t>
  </si>
  <si>
    <t>【饰品】流云扣（闪避）</t>
  </si>
  <si>
    <t>【防具】玄甲</t>
  </si>
  <si>
    <t>【探索】探灵灯二阶，再次永久扩大探查范围</t>
  </si>
  <si>
    <t>【基础】上品铁胚</t>
  </si>
  <si>
    <t>【突破】蕴神天香（化神）</t>
  </si>
  <si>
    <t>【探索】行营阵盘二阶，每次入山休整次数永久增加1次</t>
  </si>
  <si>
    <t>【饰品】回春佩（治疗）</t>
  </si>
  <si>
    <t>【基础】珍品铁胚</t>
  </si>
  <si>
    <t>【武器】洞玄四职业武器组，每张蓝图拥有2个器纹槽</t>
  </si>
  <si>
    <t>【突破】破虚玄晶（炼虚）</t>
  </si>
  <si>
    <t>【饰品】破军环（暴击）</t>
  </si>
  <si>
    <t>【探索】探灵灯三阶、行营阵盘三阶，各自完成最后一次永久强化</t>
  </si>
  <si>
    <t>【突破】两仪合真璧（合体）</t>
  </si>
  <si>
    <t>【饰品】定神珠（状态抵抗），拥有2个器纹槽</t>
  </si>
  <si>
    <t>【基础】法宝铁胚</t>
  </si>
  <si>
    <t>【突破】渡厄金符（大乘）</t>
  </si>
  <si>
    <t>冻结配方</t>
  </si>
  <si>
    <t>材料扣除与产出必须原子保存；全部固定成功</t>
  </si>
  <si>
    <t>配方</t>
  </si>
  <si>
    <t>解锁坊级</t>
  </si>
  <si>
    <t>材料A</t>
  </si>
  <si>
    <t>数量A</t>
  </si>
  <si>
    <t>材料B</t>
  </si>
  <si>
    <t>数量B</t>
  </si>
  <si>
    <t>灵石费</t>
  </si>
  <si>
    <t>随机器纹</t>
  </si>
  <si>
    <t>灵晶</t>
  </si>
  <si>
    <t>随机器纹1</t>
  </si>
  <si>
    <t>归营符</t>
  </si>
  <si>
    <t>引灵砂</t>
  </si>
  <si>
    <t>归营符1</t>
  </si>
  <si>
    <t>凝丹灵草</t>
  </si>
  <si>
    <t>降尘丹1</t>
  </si>
  <si>
    <t>开山镐</t>
  </si>
  <si>
    <t>开山镐1</t>
  </si>
  <si>
    <t>9.1 行营阵盘</t>
  </si>
  <si>
    <t>事实源：33_炼器坊升级与炼制机制_草案.md 第209行</t>
  </si>
  <si>
    <t>完成后每次入山休整上限</t>
  </si>
  <si>
    <t>初始</t>
  </si>
  <si>
    <t>行营阵盘一阶</t>
  </si>
  <si>
    <t>行营阵盘二阶</t>
  </si>
  <si>
    <t>行营阵盘三阶</t>
  </si>
  <si>
    <t>9.2 探灵灯</t>
  </si>
  <si>
    <t>事实源：33_炼器坊升级与炼制机制_草案.md 第223行</t>
  </si>
  <si>
    <t>照影石</t>
  </si>
  <si>
    <t>完成后探查半径</t>
  </si>
  <si>
    <t>4格</t>
  </si>
  <si>
    <t>探灵灯一阶</t>
  </si>
  <si>
    <t>6格</t>
  </si>
  <si>
    <t>探灵灯二阶</t>
  </si>
  <si>
    <t>8格</t>
  </si>
  <si>
    <t>探灵灯三阶</t>
  </si>
  <si>
    <t>10格</t>
  </si>
  <si>
    <t>材料、资源包与地图资源点</t>
  </si>
  <si>
    <t>资源包品质只表示包内数量；灵粮不使用四档包装；凝露草不用于扎营疗伤</t>
  </si>
  <si>
    <t>20 个资源包稳定定义</t>
  </si>
  <si>
    <t>固定开包产量与每 ID 持有上限；资源本和地图掉落均复用这些 ID</t>
  </si>
  <si>
    <t>资源</t>
  </si>
  <si>
    <t>档位</t>
  </si>
  <si>
    <t>开包产量</t>
  </si>
  <si>
    <t>每 ID 上限</t>
  </si>
  <si>
    <t>是否受灵圃容量</t>
  </si>
  <si>
    <t>下品</t>
  </si>
  <si>
    <t>item_resource_pack_wood_low</t>
  </si>
  <si>
    <t>是</t>
  </si>
  <si>
    <t>34_1.0基础材料与资源循环_草案.md §9.1</t>
  </si>
  <si>
    <t>item_resource_pack_wood_high</t>
  </si>
  <si>
    <t>特级</t>
  </si>
  <si>
    <t>item_resource_pack_wood_special</t>
  </si>
  <si>
    <t>仙品</t>
  </si>
  <si>
    <t>item_resource_pack_wood_immortal</t>
  </si>
  <si>
    <t>item_resource_pack_iron_low</t>
  </si>
  <si>
    <t>item_resource_pack_iron_high</t>
  </si>
  <si>
    <t>item_resource_pack_iron_special</t>
  </si>
  <si>
    <t>item_resource_pack_iron_immortal</t>
  </si>
  <si>
    <t>item_resource_pack_stone_low</t>
  </si>
  <si>
    <t>否（钱包）</t>
  </si>
  <si>
    <t>item_resource_pack_stone_high</t>
  </si>
  <si>
    <t>item_resource_pack_stone_special</t>
  </si>
  <si>
    <t>item_resource_pack_stone_immortal</t>
  </si>
  <si>
    <t>item_resource_pack_crystal_low</t>
  </si>
  <si>
    <t>item_resource_pack_crystal_high</t>
  </si>
  <si>
    <t>item_resource_pack_crystal_special</t>
  </si>
  <si>
    <t>item_resource_pack_crystal_immortal</t>
  </si>
  <si>
    <t>item_resource_pack_geng_low</t>
  </si>
  <si>
    <t>item_resource_pack_geng_high</t>
  </si>
  <si>
    <t>item_resource_pack_geng_special</t>
  </si>
  <si>
    <t>item_resource_pack_geng_immortal</t>
  </si>
  <si>
    <t>3. 资源分层与库存规则</t>
  </si>
  <si>
    <t>事实源：34_1.0基础材料与资源循环_草案.md 第46行</t>
  </si>
  <si>
    <t>1.0内容</t>
  </si>
  <si>
    <t>存放与上限</t>
  </si>
  <si>
    <t>交易行关系</t>
  </si>
  <si>
    <t>货币/成长资源</t>
  </si>
  <si>
    <t>灵石、魂晶</t>
  </si>
  <si>
    <t>公共钱包；不读取灵圃储量等级</t>
  </si>
  <si>
    <t>灵石用于购买与付费刷新；二者均不能出售</t>
  </si>
  <si>
    <t>五种生产资源</t>
  </si>
  <si>
    <t>灵粮、灵木、玄铁、灵晶、庚精</t>
  </si>
  <si>
    <t>公共资源栏；每种拥有独立灵圃储量等级和版本上限</t>
  </si>
  <si>
    <t>五类资源包可进入随机栏；玩家不能出售资源</t>
  </si>
  <si>
    <t>野外通用材料</t>
  </si>
  <si>
    <t>引灵砂、照影石、凝露草、凝丹灵草、器灵残片</t>
  </si>
  <si>
    <t>百宝库堆叠库存</t>
  </si>
  <si>
    <t>照影石、凝丹灵草可按交易行限量随机栏购买；玩家不能出售材料</t>
  </si>
  <si>
    <t>区域稀有材料</t>
  </si>
  <si>
    <t>四象阵砂、魔髓碎屑、古宝残片</t>
  </si>
  <si>
    <t>不进入普通交易行商品池，也不能出售</t>
  </si>
  <si>
    <t>加工品</t>
  </si>
  <si>
    <t>铁胚、器纹、归营符、开山镐、六种大境界突破物</t>
  </si>
  <si>
    <t>百宝库分类库存</t>
  </si>
  <si>
    <t>防卡死用品可限量购买；玩家不能出售加工品</t>
  </si>
  <si>
    <t>资源包/野外食物</t>
  </si>
  <si>
    <t>五类四档资源包；辟谷饼、干粮、兽肉等主题食物</t>
  </si>
  <si>
    <t>野外临时战利品，安全归营后进入百宝库</t>
  </si>
  <si>
    <t>不能直接替代任务物或突破物</t>
  </si>
  <si>
    <t>任务物/唯一核心</t>
  </si>
  <si>
    <t>石灵核心、铸灵核心、封坛令、残翎核心、证据、古宝前置等</t>
  </si>
  <si>
    <t>任务保护区或受保护物品栏</t>
  </si>
  <si>
    <t>不可出售、分解或因阵亡丢失</t>
  </si>
  <si>
    <t>4. 货币与成长资源</t>
  </si>
  <si>
    <t>事实源：34_1.0基础材料与资源循环_草案.md 第61行</t>
  </si>
  <si>
    <t>主要来源</t>
  </si>
  <si>
    <t>1.0主要消耗</t>
  </si>
  <si>
    <t>明确不承担的职责</t>
  </si>
  <si>
    <t>主支线、探索、资源包、map_03回火矿窟</t>
  </si>
  <si>
    <t>筑基与结丹费用、交易行、炼器与打造费用、高成本专精重置</t>
  </si>
  <si>
    <t>不用于角色升级，不替代魂晶或降尘丹</t>
  </si>
  <si>
    <t>战斗、任务、map_04镇魂残响</t>
  </si>
  <si>
    <t>修士升级、还魂</t>
  </si>
  <si>
    <t>不用于打造、交易、建筑或境界突破材料替代</t>
  </si>
  <si>
    <t>6. 野外通用材料</t>
  </si>
  <si>
    <t>事实源：34_1.0基础材料与资源循环_草案.md 第109行</t>
  </si>
  <si>
    <t>材料</t>
  </si>
  <si>
    <t>首次主要出现</t>
  </si>
  <si>
    <t>主要用途</t>
  </si>
  <si>
    <t>保护与交易</t>
  </si>
  <si>
    <t>残阵、符纸类敌人和探索</t>
  </si>
  <si>
    <t>与灵晶炼制归营符</t>
  </si>
  <si>
    <t>不可出售；归营符成品在交易行常备栏限量补购</t>
  </si>
  <si>
    <t>隐蔽矿点、高神识探索与交易行</t>
  </si>
  <si>
    <t>与庚精完成三阶探灵灯</t>
  </si>
  <si>
    <t>可在随机栏限量购买；不可出售</t>
  </si>
  <si>
    <t>凝露草</t>
  </si>
  <si>
    <t>白玉缝、木魅庭院外围、任务</t>
  </si>
  <si>
    <t>明确剧情节点中的NPC救治和净化</t>
  </si>
  <si>
    <t>不可出售；需要提交时必须提前提示并预留所需数量</t>
  </si>
  <si>
    <t>遗址边缘、封存药材、任务保底、交易行限量随机栏及后续地图灵草点</t>
  </si>
  <si>
    <t>从结丹开始合成所有大境界突破物</t>
  </si>
  <si>
    <t>不可出售、分解或用于突破以外的配方</t>
  </si>
  <si>
    <t>器灵敌人、铸灵堂、机关区、分解装备</t>
  </si>
  <si>
    <t>与灵晶炼制随机器纹；少数特装与炉腔修复</t>
  </si>
  <si>
    <t>不可出售；不进入普通随机栏</t>
  </si>
  <si>
    <t>8.4 探索工具与突破物</t>
  </si>
  <si>
    <t>事实源：34_1.0基础材料与资源循环_草案.md 第194行</t>
  </si>
  <si>
    <t>材料关系</t>
  </si>
  <si>
    <t>规则边界</t>
  </si>
  <si>
    <t>灵晶 + 引灵砂</t>
  </si>
  <si>
    <t>任意坐标安全归营；普通交易行存在稳定补购</t>
  </si>
  <si>
    <t>启程成功时消耗并在本次出征全程生效，归营或阵亡后失效</t>
  </si>
  <si>
    <t>行营阵盘一至三阶</t>
  </si>
  <si>
    <t>账号永久强化，逐阶一次性生效</t>
  </si>
  <si>
    <t>探灵灯一至三阶</t>
  </si>
  <si>
    <t>照影石 + 庚精</t>
  </si>
  <si>
    <t>凝丹灵草 + 灵晶</t>
  </si>
  <si>
    <t>结丹必需，固定成功；炼器坊3级解锁</t>
  </si>
  <si>
    <t>凝婴玉髓</t>
  </si>
  <si>
    <t>凝丹灵草 + 元婴地区辅材</t>
  </si>
  <si>
    <t>元婴突破物；炼器坊8级解锁，辅材与数量待对应版本确定</t>
  </si>
  <si>
    <t>蕴神天香</t>
  </si>
  <si>
    <t>凝丹灵草 + 化神地区辅材</t>
  </si>
  <si>
    <t>化神突破物；炼器坊13级解锁，辅材与数量待对应版本确定</t>
  </si>
  <si>
    <t>破虚玄晶</t>
  </si>
  <si>
    <t>凝丹灵草 + 炼虚地区辅材</t>
  </si>
  <si>
    <t>炼虚突破物；炼器坊18级解锁，辅材与数量待对应版本确定</t>
  </si>
  <si>
    <t>两仪合真璧</t>
  </si>
  <si>
    <t>凝丹灵草 + 合体地区辅材</t>
  </si>
  <si>
    <t>合体突破物；炼器坊21级解锁，辅材与数量待对应版本确定</t>
  </si>
  <si>
    <t>渡厄金符</t>
  </si>
  <si>
    <t>凝丹灵草 + 大乘地区辅材</t>
  </si>
  <si>
    <t>大乘突破物；炼器坊24级解锁，辅材与数量待对应版本确定</t>
  </si>
  <si>
    <t>9.1 资源包</t>
  </si>
  <si>
    <t>事实源：34_1.0基础材料与资源循环_草案.md 第223行</t>
  </si>
  <si>
    <t>包装档位</t>
  </si>
  <si>
    <t>定位</t>
  </si>
  <si>
    <t>典型来源</t>
  </si>
  <si>
    <t>少量基础补给</t>
  </si>
  <si>
    <t>普通敌人、普通宝箱、低风险采集与低难度副本</t>
  </si>
  <si>
    <t>中量区域奖励</t>
  </si>
  <si>
    <t>精英、隐藏宝箱、中风险支路与中难度副本</t>
  </si>
  <si>
    <t>大量阶段奖励</t>
  </si>
  <si>
    <t>高危精英、Boss、首通奖励与高难度副本</t>
  </si>
  <si>
    <t>极大量或后期奖励</t>
  </si>
  <si>
    <t>稀有事件、后续高境界地图与明确配置的顶级奖励</t>
  </si>
  <si>
    <t>9.2 野外食物</t>
  </si>
  <si>
    <t>事实源：34_1.0基础材料与资源循环_草案.md 第266行</t>
  </si>
  <si>
    <t>食物示例</t>
  </si>
  <si>
    <t>叙事来源</t>
  </si>
  <si>
    <t>grainYield</t>
  </si>
  <si>
    <t>负重</t>
  </si>
  <si>
    <t>每ID持有上限</t>
  </si>
  <si>
    <t>辟谷饼</t>
  </si>
  <si>
    <t>营地、修士遗物、补给箱</t>
  </si>
  <si>
    <t>山行干粮</t>
  </si>
  <si>
    <t>废营、商队、地下城堡储藏室</t>
  </si>
  <si>
    <t>妖狼肉</t>
  </si>
  <si>
    <t>山地狼类敌人或狩猎事件</t>
  </si>
  <si>
    <t>地龙肉</t>
  </si>
  <si>
    <t>地下城堡、深层洞窟或高危妖兽</t>
  </si>
  <si>
    <t>11. 四图材料职责</t>
  </si>
  <si>
    <t>事实源：34_1.0基础材料与资源循环_草案.md 第316行</t>
  </si>
  <si>
    <t>主材料职责</t>
  </si>
  <si>
    <t>不应承担的职责</t>
  </si>
  <si>
    <t>地图1 破禁山麓</t>
  </si>
  <si>
    <t>灵粮、灵木、玄铁、少量灵晶和引灵砂；建立生产、采集与工具循环</t>
  </si>
  <si>
    <t>不产庚精、突破丹材和高品质铁胚</t>
  </si>
  <si>
    <t>地图2 白玉广场</t>
  </si>
  <si>
    <t>灵木、玄铁、灵晶、凝露草、照影石和四象阵砂；服务筑基后的探索扩张</t>
  </si>
  <si>
    <t>不随机投放凝丹灵草，不用普通材料替代筑基灵石</t>
  </si>
  <si>
    <t>地图3 灵宝遗址</t>
  </si>
  <si>
    <t>玄铁、灵晶、庚精、凝丹灵草和器灵残片；建立器纹、珍品装备与结丹准备</t>
  </si>
  <si>
    <t>不依赖重复副本补齐四人结丹保底</t>
  </si>
  <si>
    <t>地图4 镇魔塔外层</t>
  </si>
  <si>
    <t>庚精、灵晶、凝丹灵草、魔髓碎屑和古宝残片；服务后续突破储备、结丹后配装与机制选择</t>
  </si>
  <si>
    <t>不把魔髓或古宝残片放入普通生产岗位</t>
  </si>
  <si>
    <t>事实源：34_1.0基础材料与资源循环_草案.md 第326行</t>
  </si>
  <si>
    <t>资源点原型</t>
  </si>
  <si>
    <t>首次产量</t>
  </si>
  <si>
    <t>重复产量</t>
  </si>
  <si>
    <t>18–24</t>
  </si>
  <si>
    <t>9–12</t>
  </si>
  <si>
    <t>10–14</t>
  </si>
  <si>
    <t>5–7</t>
  </si>
  <si>
    <t>2–4</t>
  </si>
  <si>
    <t>1–2</t>
  </si>
  <si>
    <t>30–42</t>
  </si>
  <si>
    <t>15–21</t>
  </si>
  <si>
    <t>18–26</t>
  </si>
  <si>
    <t>9–13</t>
  </si>
  <si>
    <t>5–8</t>
  </si>
  <si>
    <t>30–44</t>
  </si>
  <si>
    <t>15–22</t>
  </si>
  <si>
    <t>10–15</t>
  </si>
  <si>
    <t>16–24</t>
  </si>
  <si>
    <t>8–12</t>
  </si>
  <si>
    <t>事实源：34_1.0基础材料与资源循环_草案.md 第342行</t>
  </si>
  <si>
    <t>材料点原型</t>
  </si>
  <si>
    <t>0；只由明确剧情或固定对象再次投放</t>
  </si>
  <si>
    <t>2–3</t>
  </si>
  <si>
    <t>魔髓碎屑</t>
  </si>
  <si>
    <t>交易、生产、储量、还魂与失败</t>
  </si>
  <si>
    <t>自然刷新与离线生产按现实时间累计；扎营每次固定一次免费疗伤，不消耗任何物品</t>
  </si>
  <si>
    <t>交易行手动刷新费</t>
  </si>
  <si>
    <t>公式：600 + 300 × (最高已到达地图序号 - 1)</t>
  </si>
  <si>
    <t>最高地图</t>
  </si>
  <si>
    <t>地图序号</t>
  </si>
  <si>
    <t>手动刷新费</t>
  </si>
  <si>
    <t>自然刷新</t>
  </si>
  <si>
    <t>2小时</t>
  </si>
  <si>
    <t>灵石包刷新套利检查</t>
  </si>
  <si>
    <t>单包净值必须低于地图1最低手动刷新费 600；库存、随机权重与整批刷新进一步限制收益</t>
  </si>
  <si>
    <t>开包灵石</t>
  </si>
  <si>
    <t>购买价</t>
  </si>
  <si>
    <t>单包净值</t>
  </si>
  <si>
    <t>最低刷新费</t>
  </si>
  <si>
    <t>Lv1–30 还魂费用</t>
  </si>
  <si>
    <t>公式结果向上取整到 5 的倍数；免费还魂保底不改变标准费用</t>
  </si>
  <si>
    <t>原始费用</t>
  </si>
  <si>
    <t>还魂费用</t>
  </si>
  <si>
    <t>公式口径</t>
  </si>
  <si>
    <t>20+8×等级</t>
  </si>
  <si>
    <t>36_营地后勤与野外循环机制_草案.md §5.2</t>
  </si>
  <si>
    <t>100+15×(等级-10)</t>
  </si>
  <si>
    <t>300+25×(等级-20)</t>
  </si>
  <si>
    <t>2.2 栏位与库存</t>
  </si>
  <si>
    <t>事实源：36_营地后勤与野外循环机制_草案.md 第46行</t>
  </si>
  <si>
    <t>常备商品</t>
  </si>
  <si>
    <t>单价（灵石）</t>
  </si>
  <si>
    <t>每批库存</t>
  </si>
  <si>
    <t>探灵镜</t>
  </si>
  <si>
    <t>2.4 随机商品池</t>
  </si>
  <si>
    <t>事实源：36_营地后勤与野外循环机制_草案.md 第82行</t>
  </si>
  <si>
    <t>大类</t>
  </si>
  <si>
    <t>权重</t>
  </si>
  <si>
    <t>单格库存</t>
  </si>
  <si>
    <t>价格</t>
  </si>
  <si>
    <t>资源包</t>
  </si>
  <si>
    <t>见下表</t>
  </si>
  <si>
    <t>260/个</t>
  </si>
  <si>
    <t>1200/个</t>
  </si>
  <si>
    <t>特殊效果蓝图</t>
  </si>
  <si>
    <t>地图2/3/4档：1600/2400/3600</t>
  </si>
  <si>
    <t>2器纹槽蓝图</t>
  </si>
  <si>
    <t>地图2/3/4档：2400/3600/5200</t>
  </si>
  <si>
    <t>特效＋2槽蓝图</t>
  </si>
  <si>
    <t>地图2/3/4档：3600/5200/7600</t>
  </si>
  <si>
    <t>事实源：36_营地后勤与野外循环机制_草案.md 第95行</t>
  </si>
  <si>
    <t>灵木包价格</t>
  </si>
  <si>
    <t>玄铁包价格</t>
  </si>
  <si>
    <t>灵石包价格</t>
  </si>
  <si>
    <t>灵晶包价格</t>
  </si>
  <si>
    <t>庚精包价格</t>
  </si>
  <si>
    <t>3.3 生产、离线与储量</t>
  </si>
  <si>
    <t>事实源：36_营地后勤与野外循环机制_草案.md 第132行</t>
  </si>
  <si>
    <t>单名杂役岗位</t>
  </si>
  <si>
    <t>每30分钟产出</t>
  </si>
  <si>
    <t>每30分钟灵粮维护</t>
  </si>
  <si>
    <t>开放条件</t>
  </si>
  <si>
    <t>灵粮</t>
  </si>
  <si>
    <t>12灵粮</t>
  </si>
  <si>
    <t>6灵木</t>
  </si>
  <si>
    <t>3玄铁</t>
  </si>
  <si>
    <t>1灵晶</t>
  </si>
  <si>
    <t>到达地图2</t>
  </si>
  <si>
    <t>每2周期1庚精</t>
  </si>
  <si>
    <t>每周期2</t>
  </si>
  <si>
    <t>到达地图3</t>
  </si>
  <si>
    <t>事实源：36_营地后勤与野外循环机制_草案.md 第143行</t>
  </si>
  <si>
    <t>储量等级</t>
  </si>
  <si>
    <t>灵粮容量/升级木</t>
  </si>
  <si>
    <t>灵木容量/升级木</t>
  </si>
  <si>
    <t>玄铁容量/升级木</t>
  </si>
  <si>
    <t>灵晶容量/升级木</t>
  </si>
  <si>
    <t>庚精容量/升级木</t>
  </si>
  <si>
    <t>400/0</t>
  </si>
  <si>
    <t>300/0</t>
  </si>
  <si>
    <t>200/0</t>
  </si>
  <si>
    <t>100/0</t>
  </si>
  <si>
    <t>20/0</t>
  </si>
  <si>
    <t>800/80</t>
  </si>
  <si>
    <t>800/100</t>
  </si>
  <si>
    <t>500/120</t>
  </si>
  <si>
    <t>250/160</t>
  </si>
  <si>
    <t>50/220</t>
  </si>
  <si>
    <t>1600/220</t>
  </si>
  <si>
    <t>2000/300</t>
  </si>
  <si>
    <t>1200/360</t>
  </si>
  <si>
    <t>600/480</t>
  </si>
  <si>
    <t>120/650</t>
  </si>
  <si>
    <t>3200/600</t>
  </si>
  <si>
    <t>5000/900</t>
  </si>
  <si>
    <t>3000/1050</t>
  </si>
  <si>
    <t>1500/1400</t>
  </si>
  <si>
    <t>300/1900</t>
  </si>
  <si>
    <t>6000/1600</t>
  </si>
  <si>
    <t>12000/2600</t>
  </si>
  <si>
    <t>7000/3000</t>
  </si>
  <si>
    <t>3500/4000</t>
  </si>
  <si>
    <t>700/5200</t>
  </si>
  <si>
    <t>可重复资源副本数值</t>
  </si>
  <si>
    <t>核心货币效率＝保底核心货币 ÷ 合格队伍平均通关分钟数；概率附加奖励不折现进效率</t>
  </si>
  <si>
    <t>副本</t>
  </si>
  <si>
    <t>难度</t>
  </si>
  <si>
    <t>永久解锁</t>
  </si>
  <si>
    <t>推荐战力</t>
  </si>
  <si>
    <t>平均分钟</t>
  </si>
  <si>
    <t>货币</t>
  </si>
  <si>
    <t>保底数量</t>
  </si>
  <si>
    <t>回算效率/分钟</t>
  </si>
  <si>
    <t>与展示值差</t>
  </si>
  <si>
    <t>附加奖励</t>
  </si>
  <si>
    <t>装备概率</t>
  </si>
  <si>
    <t>策划展示效率</t>
  </si>
  <si>
    <t>回火矿窟</t>
  </si>
  <si>
    <t>余火层</t>
  </si>
  <si>
    <t>四臂铸灵傀首杀</t>
  </si>
  <si>
    <t>下品玄铁包1；40%下品灵晶包1</t>
  </si>
  <si>
    <t>地图/32_可重复资源副本与新修士追赶机制_草案.md 第213行</t>
  </si>
  <si>
    <t>赤炉层</t>
  </si>
  <si>
    <t>四人全部结丹</t>
  </si>
  <si>
    <t>上品玄铁包1；50%下品灵晶包1；20%下品庚精包1</t>
  </si>
  <si>
    <t>地脉层</t>
  </si>
  <si>
    <t>1.0最终Boss首杀</t>
  </si>
  <si>
    <t>特级玄铁包1；上品灵晶包1；35%上品庚精包1</t>
  </si>
  <si>
    <t>镇魂残响</t>
  </si>
  <si>
    <t>旧印层</t>
  </si>
  <si>
    <t>封魂间首清并稳定魂印</t>
  </si>
  <si>
    <t>引灵砂2；25%下品灵晶包1</t>
  </si>
  <si>
    <t>尸煞层</t>
  </si>
  <si>
    <t>四人全部结丹且处理两条封链</t>
  </si>
  <si>
    <t>器灵残片3；40%下品灵晶包1</t>
  </si>
  <si>
    <t>银翅层</t>
  </si>
  <si>
    <t>器灵残片5；50%上品灵晶包1；20%上品庚精包1</t>
  </si>
  <si>
    <t>6.4 1.0三档数值</t>
  </si>
  <si>
    <t>事实源：地图/32_可重复资源副本与新修士追赶机制_草案.md 第228行</t>
  </si>
  <si>
    <t>模板范围</t>
  </si>
  <si>
    <t>第一档</t>
  </si>
  <si>
    <t>已解锁基础模板</t>
  </si>
  <si>
    <t>第二档</t>
  </si>
  <si>
    <t>已解锁基础、白玉模板</t>
  </si>
  <si>
    <t>第三档</t>
  </si>
  <si>
    <t>已解锁白玉、灵宝模板</t>
  </si>
  <si>
    <t>事实源：地图/32_可重复资源副本与新修士追赶机制_草案.md 第238行</t>
  </si>
  <si>
    <t>一次性首通奖励</t>
  </si>
  <si>
    <t>灵石1200、下品玄铁包2、归营符2、营地快速重返捷径</t>
  </si>
  <si>
    <t>灵石1800、指定护体器纹1、指定定力器纹1</t>
  </si>
  <si>
    <t>灵石2800、特级玄铁包1、特级灵晶包1</t>
  </si>
  <si>
    <t>魂晶1500、器灵残片4、营地快速重返捷径</t>
  </si>
  <si>
    <t>魂晶2400、指定定力器纹1、指定神识器纹1</t>
  </si>
  <si>
    <t>魂晶3600、上品灵晶包2、上品庚精包1</t>
  </si>
  <si>
    <t>6.5 固定敌群与机制首领</t>
  </si>
  <si>
    <t>事实源：地图/32_可重复资源副本与新修士追赶机制_草案.md 第252行</t>
  </si>
  <si>
    <t>第一战</t>
  </si>
  <si>
    <t>第二战</t>
  </si>
  <si>
    <t>机制首领</t>
  </si>
  <si>
    <t>断刃器灵2＋铸灵铜傀1</t>
  </si>
  <si>
    <t>铸灵铜傀2＋夺宝散修1</t>
  </si>
  <si>
    <t>回火矿傀：HP9000、护盾2000；关闭错误炉口使护盾失效80tick</t>
  </si>
  <si>
    <t>铸灵铜傀2＋吞金兽1</t>
  </si>
  <si>
    <t>断刃器灵2＋夺宝散修2</t>
  </si>
  <si>
    <t>赤炉监工：HP14000、护盾3500；护炉目标存活使其每20秒恢复1200</t>
  </si>
  <si>
    <t>吞金兽2＋熔炉石傀1</t>
  </si>
  <si>
    <t>铸灵铜傀2＋断刃器灵3</t>
  </si>
  <si>
    <t>地脉炉心：HP21000、护盾5000；三炉口按证据顺序关闭，错关触发一次全体回火</t>
  </si>
  <si>
    <t>封链魔灵1＋摄魂残影2</t>
  </si>
  <si>
    <t>摄魂残影1＋裂隙化形2</t>
  </si>
  <si>
    <t>旧印残像：HP12000；保护2枚魂印，毁1枚则首领伤害+15%</t>
  </si>
  <si>
    <t>银甲尸2＋摄魂残影1</t>
  </si>
  <si>
    <t>封链魔灵2＋魔气寄生体1</t>
  </si>
  <si>
    <t>尸将残响：HP18000、魂旗HP3500；魂旗存活时首次濒死恢复4500</t>
  </si>
  <si>
    <t>银翅残羽2＋裂隙化形1</t>
  </si>
  <si>
    <t>银甲尸2＋封链魔灵2</t>
  </si>
  <si>
    <t>银翅残响：HP26000、残羽各3000；残羽存活时分别使首领伤害+10%、速度+8%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</si>
</sst>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28">
    <font>
      <sz val="11"/>
      <name val="Carlito"/>
      <charset val="134"/>
    </font>
    <font>
      <b/>
      <sz val="16"/>
      <color rgb="FFFFFFFF"/>
      <name val="Carlito"/>
      <charset val="134"/>
    </font>
    <font>
      <i/>
      <sz val="10"/>
      <color rgb="FF66717A"/>
      <name val="Carlito"/>
      <charset val="134"/>
    </font>
    <font>
      <b/>
      <sz val="11"/>
      <color rgb="FFFFFFFF"/>
      <name val="Carlito"/>
      <charset val="134"/>
    </font>
    <font>
      <sz val="11"/>
      <color rgb="FF263238"/>
      <name val="Carlito"/>
      <charset val="134"/>
    </font>
    <font>
      <b/>
      <sz val="11"/>
      <color rgb="FF263238"/>
      <name val="Carlito"/>
      <charset val="134"/>
    </font>
    <font>
      <sz val="9"/>
      <color rgb="FF66717A"/>
      <name val="Carlito"/>
      <charset val="134"/>
    </font>
    <font>
      <sz val="11"/>
      <color rgb="FF2F6B5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263238"/>
        <bgColor indexed="64"/>
      </patternFill>
    </fill>
    <fill>
      <patternFill patternType="solid">
        <fgColor rgb="FFF7F5EF"/>
        <bgColor indexed="64"/>
      </patternFill>
    </fill>
    <fill>
      <patternFill patternType="solid">
        <fgColor rgb="FF2F6B5F"/>
        <bgColor indexed="64"/>
      </patternFill>
    </fill>
    <fill>
      <patternFill patternType="solid">
        <fgColor rgb="FFFFF3D3"/>
        <bgColor indexed="64"/>
      </patternFill>
    </fill>
    <fill>
      <patternFill patternType="solid">
        <fgColor rgb="FFE8F0F7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E7F3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6DADD"/>
      </left>
      <right style="thin">
        <color rgb="FFD6DADD"/>
      </right>
      <top style="thin">
        <color rgb="FFD6DADD"/>
      </top>
      <bottom style="thin">
        <color rgb="FFD6DADD"/>
      </bottom>
      <diagonal/>
    </border>
    <border>
      <left/>
      <right/>
      <top/>
      <bottom style="thin">
        <color rgb="FFD6DADD"/>
      </bottom>
      <diagonal/>
    </border>
    <border>
      <left/>
      <right/>
      <top style="thin">
        <color rgb="FFD6DADD"/>
      </top>
      <bottom style="thin">
        <color rgb="FFD6DA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8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11" borderId="8" applyNumberFormat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12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3" fillId="4" borderId="1" xfId="49" applyNumberFormat="1" applyFont="1" applyFill="1" applyBorder="1" applyAlignment="1">
      <alignment horizontal="center" vertical="center" wrapText="1"/>
    </xf>
    <xf numFmtId="3" fontId="4" fillId="5" borderId="0" xfId="49" applyNumberFormat="1" applyFont="1" applyFill="1" applyBorder="1"/>
    <xf numFmtId="0" fontId="5" fillId="6" borderId="0" xfId="49" applyNumberFormat="1" applyFont="1" applyFill="1" applyBorder="1" applyAlignment="1">
      <alignment vertical="center"/>
    </xf>
    <xf numFmtId="0" fontId="6" fillId="7" borderId="0" xfId="49" applyNumberFormat="1" applyFont="1" applyFill="1" applyBorder="1"/>
    <xf numFmtId="0" fontId="0" fillId="0" borderId="2" xfId="49" applyNumberFormat="1" applyFont="1" applyFill="1" applyBorder="1" applyAlignment="1">
      <alignment vertical="top" wrapText="1"/>
    </xf>
    <xf numFmtId="9" fontId="4" fillId="5" borderId="2" xfId="49" applyNumberFormat="1" applyFont="1" applyFill="1" applyBorder="1" applyAlignment="1">
      <alignment vertical="top" wrapText="1"/>
    </xf>
    <xf numFmtId="3" fontId="4" fillId="5" borderId="2" xfId="49" applyNumberFormat="1" applyFont="1" applyFill="1" applyBorder="1" applyAlignment="1">
      <alignment vertical="top" wrapText="1"/>
    </xf>
    <xf numFmtId="0" fontId="0" fillId="0" borderId="3" xfId="49" applyNumberFormat="1" applyFont="1" applyFill="1" applyBorder="1" applyAlignment="1">
      <alignment vertical="top" wrapText="1"/>
    </xf>
    <xf numFmtId="3" fontId="4" fillId="5" borderId="3" xfId="49" applyNumberFormat="1" applyFont="1" applyFill="1" applyBorder="1" applyAlignment="1">
      <alignment vertical="top" wrapText="1"/>
    </xf>
    <xf numFmtId="9" fontId="4" fillId="5" borderId="3" xfId="49" applyNumberFormat="1" applyFont="1" applyFill="1" applyBorder="1" applyAlignment="1">
      <alignment vertical="top" wrapText="1"/>
    </xf>
    <xf numFmtId="176" fontId="7" fillId="8" borderId="0" xfId="49" applyNumberFormat="1" applyFont="1" applyFill="1" applyBorder="1"/>
    <xf numFmtId="9" fontId="4" fillId="5" borderId="0" xfId="49" applyNumberFormat="1" applyFont="1" applyFill="1" applyBorder="1"/>
    <xf numFmtId="176" fontId="4" fillId="5" borderId="0" xfId="49" applyNumberFormat="1" applyFont="1" applyFill="1" applyBorder="1"/>
    <xf numFmtId="3" fontId="7" fillId="8" borderId="0" xfId="49" applyNumberFormat="1" applyFont="1" applyFill="1" applyBorder="1"/>
    <xf numFmtId="49" fontId="7" fillId="8" borderId="0" xfId="49" applyNumberFormat="1" applyFont="1" applyFill="1" applyBorder="1"/>
    <xf numFmtId="0" fontId="0" fillId="0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vertical="top" wrapText="1"/>
    </xf>
    <xf numFmtId="3" fontId="4" fillId="5" borderId="0" xfId="49" applyNumberFormat="1" applyFont="1" applyFill="1" applyBorder="1" applyAlignment="1">
      <alignment vertical="top" wrapText="1"/>
    </xf>
    <xf numFmtId="3" fontId="7" fillId="8" borderId="0" xfId="49" applyNumberFormat="1" applyFont="1" applyFill="1" applyBorder="1" applyAlignment="1">
      <alignment vertical="top" wrapText="1"/>
    </xf>
    <xf numFmtId="2" fontId="4" fillId="5" borderId="2" xfId="49" applyNumberFormat="1" applyFont="1" applyFill="1" applyBorder="1" applyAlignment="1">
      <alignment vertical="top" wrapText="1"/>
    </xf>
    <xf numFmtId="2" fontId="4" fillId="5" borderId="3" xfId="49" applyNumberFormat="1" applyFont="1" applyFill="1" applyBorder="1" applyAlignment="1">
      <alignment vertical="top" wrapText="1"/>
    </xf>
    <xf numFmtId="2" fontId="7" fillId="8" borderId="0" xfId="49" applyNumberFormat="1" applyFont="1" applyFill="1" applyBorder="1" applyAlignment="1">
      <alignment vertical="top" wrapText="1"/>
    </xf>
    <xf numFmtId="0" fontId="5" fillId="6" borderId="0" xfId="49" applyNumberFormat="1" applyFont="1" applyFill="1" applyBorder="1"/>
    <xf numFmtId="176" fontId="7" fillId="8" borderId="0" xfId="49" applyNumberFormat="1" applyFont="1" applyFill="1" applyBorder="1" applyAlignment="1">
      <alignment vertical="top" wrapText="1"/>
    </xf>
    <xf numFmtId="49" fontId="7" fillId="8" borderId="0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B9533C"/>
      </font>
      <fill>
        <patternFill patternType="solid">
          <bgColor rgb="FFFBE9E4"/>
        </patternFill>
      </fill>
    </dxf>
    <dxf>
      <font>
        <b val="1"/>
        <color rgb="FF2F6B5F"/>
      </font>
      <fill>
        <patternFill patternType="solid">
          <bgColor rgb="FFE7F3ED"/>
        </patternFill>
      </fill>
    </dxf>
    <dxf>
      <fill>
        <patternFill patternType="solid">
          <bgColor rgb="FFFFF3D3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Index_001" displayName="Index_001" ref="A6:C19" totalsRowShown="0">
  <tableColumns count="3">
    <tableColumn id="1" name="工作表"/>
    <tableColumn id="2" name="内容"/>
    <tableColumn id="3" name="使用要点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Sources_002" displayName="Sources_002" ref="A24:D32" totalsRowShown="0">
  <tableColumns count="4">
    <tableColumn id="1" name="文件"/>
    <tableColumn id="2" name="版本"/>
    <tableColumn id="3" name="日期"/>
    <tableColumn id="4" name="仓库路径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KeyParam_003" displayName="KeyParam_003" ref="A4:E19" totalsRowShown="0">
  <tableColumns count="5">
    <tableColumn id="1" name="系统"/>
    <tableColumn id="2" name="参数"/>
    <tableColumn id="3" name="输入值"/>
    <tableColumn id="4" name="单位"/>
    <tableColumn id="5" name="事实源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Checks_004" displayName="Checks_004" ref="A24:F30" totalsRowShown="0">
  <tableColumns count="6">
    <tableColumn id="1" name="检查项"/>
    <tableColumn id="2" name="当前值"/>
    <tableColumn id="3" name="目标/上限"/>
    <tableColumn id="4" name="关系"/>
    <tableColumn id="5" name="状态"/>
    <tableColumn id="6" name="说明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LevelCost_005" displayName="LevelCost_005" ref="A15:E44" totalsRowShown="0">
  <tableColumns count="5">
    <tableColumn id="1" name="当前等级"/>
    <tableColumn id="2" name="目标等级"/>
    <tableColumn id="3" name="本级魂晶"/>
    <tableColumn id="4" name="单人累计"/>
    <tableColumn id="5" name="四人累计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Breakthrough_006" displayName="Breakthrough_006" ref="A49:G54" totalsRowShown="0">
  <tableColumns count="7">
    <tableColumn id="1" name="事项"/>
    <tableColumn id="2" name="最低等级"/>
    <tableColumn id="3" name="灵石"/>
    <tableColumn id="4" name="降尘丹"/>
    <tableColumn id="5" name="灵晶折算"/>
    <tableColumn id="6" name="升级魂晶"/>
    <tableColumn id="7" name="条件/说明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Src_007" displayName="Src_007" ref="A6:D12" totalsRowShown="0">
  <tableColumns count="4">
    <tableColumn id="1" name="灵根资质"/>
    <tableColumn id="2" name="稳定 ID"/>
    <tableColumn id="3" name="初始七维倍率 basePercent"/>
    <tableColumn id="4" name="升级成长倍率 growthPercent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Src_008" displayName="Src_008" ref="A17:C21" totalsRowShown="0">
  <tableColumns count="3">
    <tableColumn id="1" name="修士"/>
    <tableColumn id="2" name="初始职业"/>
    <tableColumn id="3" name="灵根资质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Src_009" displayName="Src_009" ref="A26:H30" totalsRowShown="0">
  <tableColumns count="8">
    <tableColumn id="1" name="职业"/>
    <tableColumn id="2" name="力道"/>
    <tableColumn id="3" name="法力"/>
    <tableColumn id="4" name="神识"/>
    <tableColumn id="5" name="遁速"/>
    <tableColumn id="6" name="肉身"/>
    <tableColumn id="7" name="护体"/>
    <tableColumn id="8" name="定力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Src_010" displayName="Src_010" ref="A35:I43" totalsRowShown="0">
  <tableColumns count="9">
    <tableColumn id="1" name="路线"/>
    <tableColumn id="2" name="力道"/>
    <tableColumn id="3" name="法力"/>
    <tableColumn id="4" name="神识"/>
    <tableColumn id="5" name="遁速"/>
    <tableColumn id="6" name="肉身"/>
    <tableColumn id="7" name="护体"/>
    <tableColumn id="8" name="定力"/>
    <tableColumn id="9" name="每级定位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Src_011" displayName="Src_011" ref="A48:I56" totalsRowShown="0">
  <tableColumns count="9">
    <tableColumn id="1" name="结丹职业"/>
    <tableColumn id="2" name="力"/>
    <tableColumn id="3" name="法"/>
    <tableColumn id="4" name="神"/>
    <tableColumn id="5" name="速"/>
    <tableColumn id="6" name="肉"/>
    <tableColumn id="7" name="护"/>
    <tableColumn id="8" name="定"/>
    <tableColumn id="9" name="合计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id="12" name="Src_012" displayName="Src_012" ref="A61:G65" totalsRowShown="0">
  <tableColumns count="7">
    <tableColumn id="1" name="修士"/>
    <tableColumn id="2" name="Lv1"/>
    <tableColumn id="3" name="Lv10"/>
    <tableColumn id="4" name="Lv20"/>
    <tableColumn id="5" name="Lv21"/>
    <tableColumn id="6" name="Lv25"/>
    <tableColumn id="7" name="Lv3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id="13" name="Src_013" displayName="Src_013" ref="A70:E78" totalsRowShown="0">
  <tableColumns count="5">
    <tableColumn id="1" name="固定修士·路线"/>
    <tableColumn id="2" name="Lv20"/>
    <tableColumn id="3" name="Lv21"/>
    <tableColumn id="4" name="Lv24"/>
    <tableColumn id="5" name="Lv30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id="14" name="CombatFormula_014" displayName="CombatFormula_014" ref="A6:C17" totalsRowShown="0">
  <tableColumns count="3">
    <tableColumn id="1" name="指标"/>
    <tableColumn id="2" name="公式"/>
    <tableColumn id="3" name="单位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id="15" name="Src_015" displayName="Src_015" ref="A22:H26" totalsRowShown="0">
  <tableColumns count="8">
    <tableColumn id="1" name="阶段"/>
    <tableColumn id="2" name="合格队伍等级"/>
    <tableColumn id="3" name="裸装队伍战力"/>
    <tableColumn id="4" name="标准配装增量"/>
    <tableColumn id="5" name="推荐队伍战力"/>
    <tableColumn id="6" name="结算后持续输出"/>
    <tableColumn id="7" name="普通战标准耐久"/>
    <tableColumn id="8" name="Boss标准耐久/目标时长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16" name="Src_016" displayName="Src_016" ref="A31:C50" totalsRowShown="0">
  <tableColumns count="3">
    <tableColumn id="1" name="状态"/>
    <tableColumn id="2" name="数值语义"/>
    <tableColumn id="3" name="叠加"/>
  </tableColumns>
  <tableStyleInfo name="TableStyleMedium4" showFirstColumn="0" showLastColumn="0" showRowStripes="1" showColumnStripes="0"/>
</table>
</file>

<file path=xl/tables/table17.xml><?xml version="1.0" encoding="utf-8"?>
<table xmlns="http://schemas.openxmlformats.org/spreadsheetml/2006/main" id="17" name="Src_017" displayName="Src_017" ref="A55:F61" totalsRowShown="0">
  <tableColumns count="6">
    <tableColumn id="1" name="来源"/>
    <tableColumn id="2" name="地图1"/>
    <tableColumn id="3" name="地图2"/>
    <tableColumn id="4" name="地图3"/>
    <tableColumn id="5" name="地图4"/>
    <tableColumn id="6" name="合计"/>
  </tableColumns>
  <tableStyleInfo name="TableStyleMedium4" showFirstColumn="0" showLastColumn="0" showRowStripes="1" showColumnStripes="0"/>
</table>
</file>

<file path=xl/tables/table18.xml><?xml version="1.0" encoding="utf-8"?>
<table xmlns="http://schemas.openxmlformats.org/spreadsheetml/2006/main" id="18" name="Src_018" displayName="Src_018" ref="A66:D70" totalsRowShown="0">
  <tableColumns count="4">
    <tableColumn id="1" name="地图"/>
    <tableColumn id="2" name="普通敌群魂晶"/>
    <tableColumn id="3" name="精英魂晶"/>
    <tableColumn id="4" name="重复启程刷新收益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id="19" name="Skills_019" displayName="Skills_019" ref="A4:Q40" totalsRowShown="0">
  <tableColumns count="17">
    <tableColumn id="1" name="阶段"/>
    <tableColumn id="2" name="初始职业"/>
    <tableColumn id="3" name="路线/职业"/>
    <tableColumn id="4" name="技能 ID"/>
    <tableColumn id="5" name="技能名"/>
    <tableColumn id="6" name="目标"/>
    <tableColumn id="7" name="基础 I(tick)"/>
    <tableColumn id="8" name="基础 CD(tick)"/>
    <tableColumn id="9" name="基础 I(秒)"/>
    <tableColumn id="10" name="基础 CD(秒)"/>
    <tableColumn id="11" name="基础数值与效果"/>
    <tableColumn id="12" name="精通 I(tick)"/>
    <tableColumn id="13" name="精通 CD(tick)"/>
    <tableColumn id="14" name="精通 I(秒)"/>
    <tableColumn id="15" name="精通 CD(秒)"/>
    <tableColumn id="16" name="结丹精通数值与效果"/>
    <tableColumn id="17" name="事实源"/>
  </tableColumns>
  <tableStyleInfo name="TableStyleMedium4" showFirstColumn="0" showLastColumn="0" showRowStripes="1" showColumnStripes="0"/>
</table>
</file>

<file path=xl/tables/table20.xml><?xml version="1.0" encoding="utf-8"?>
<table xmlns="http://schemas.openxmlformats.org/spreadsheetml/2006/main" id="20" name="SkillBossMap_020" displayName="SkillBossMap_020" ref="A45:D51" totalsRowShown="0">
  <tableColumns count="4">
    <tableColumn id="1" name="需求"/>
    <tableColumn id="2" name="主解"/>
    <tableColumn id="3" name="替代解"/>
    <tableColumn id="4" name="装备容错"/>
  </tableColumns>
  <tableStyleInfo name="TableStyleMedium4" showFirstColumn="0" showLastColumn="0" showRowStripes="1" showColumnStripes="0"/>
</table>
</file>

<file path=xl/tables/table21.xml><?xml version="1.0" encoding="utf-8"?>
<table xmlns="http://schemas.openxmlformats.org/spreadsheetml/2006/main" id="21" name="Quality_021" displayName="Quality_021" ref="A6:B11" totalsRowShown="0">
  <tableColumns count="2">
    <tableColumn id="1" name="品质"/>
    <tableColumn id="2" name="qualityMultiplier"/>
  </tableColumns>
  <tableStyleInfo name="TableStyleMedium4" showFirstColumn="0" showLastColumn="0" showRowStripes="1" showColumnStripes="0"/>
</table>
</file>

<file path=xl/tables/table22.xml><?xml version="1.0" encoding="utf-8"?>
<table xmlns="http://schemas.openxmlformats.org/spreadsheetml/2006/main" id="22" name="RuneBudget_022" displayName="RuneBudget_022" ref="A15:H30" totalsRowShown="0">
  <tableColumns count="8">
    <tableColumn id="1" name="蓝图阶段"/>
    <tableColumn id="2" name="槽位"/>
    <tableColumn id="3" name="基础每纹预算"/>
    <tableColumn id="4" name="凡品"/>
    <tableColumn id="5" name="精制"/>
    <tableColumn id="6" name="上品"/>
    <tableColumn id="7" name="珍品"/>
    <tableColumn id="8" name="法宝"/>
  </tableColumns>
  <tableStyleInfo name="TableStyleMedium4" showFirstColumn="0" showLastColumn="0" showRowStripes="1" showColumnStripes="0"/>
</table>
</file>

<file path=xl/tables/table23.xml><?xml version="1.0" encoding="utf-8"?>
<table xmlns="http://schemas.openxmlformats.org/spreadsheetml/2006/main" id="23" name="CraftFee_023" displayName="CraftFee_023" ref="A35:B40" totalsRowShown="0">
  <tableColumns count="2">
    <tableColumn id="1" name="品质"/>
    <tableColumn id="2" name="打造费（灵石）"/>
  </tableColumns>
  <tableStyleInfo name="TableStyleMedium4" showFirstColumn="0" showLastColumn="0" showRowStripes="1" showColumnStripes="0"/>
</table>
</file>

<file path=xl/tables/table24.xml><?xml version="1.0" encoding="utf-8"?>
<table xmlns="http://schemas.openxmlformats.org/spreadsheetml/2006/main" id="24" name="Src_024" displayName="Src_024" ref="A45:C57" totalsRowShown="0">
  <tableColumns count="3">
    <tableColumn id="1" name="模板组"/>
    <tableColumn id="2" name="可用类型"/>
    <tableColumn id="3" name="资格与表现"/>
  </tableColumns>
  <tableStyleInfo name="TableStyleMedium4" showFirstColumn="0" showLastColumn="0" showRowStripes="1" showColumnStripes="0"/>
</table>
</file>

<file path=xl/tables/table25.xml><?xml version="1.0" encoding="utf-8"?>
<table xmlns="http://schemas.openxmlformats.org/spreadsheetml/2006/main" id="25" name="Src_025" displayName="Src_025" ref="A62:F67" totalsRowShown="0">
  <tableColumns count="6">
    <tableColumn id="1" name="饰品模板"/>
    <tableColumn id="2" name="凡品"/>
    <tableColumn id="3" name="精制"/>
    <tableColumn id="4" name="上品"/>
    <tableColumn id="5" name="珍品"/>
    <tableColumn id="6" name="法宝"/>
  </tableColumns>
  <tableStyleInfo name="TableStyleMedium4" showFirstColumn="0" showLastColumn="0" showRowStripes="1" showColumnStripes="0"/>
</table>
</file>

<file path=xl/tables/table26.xml><?xml version="1.0" encoding="utf-8"?>
<table xmlns="http://schemas.openxmlformats.org/spreadsheetml/2006/main" id="26" name="Src_026" displayName="Src_026" ref="A72:C77" totalsRowShown="0">
  <tableColumns count="3">
    <tableColumn id="1" name="装备类型"/>
    <tableColumn id="2" name="可附着器纹"/>
    <tableColumn id="3" name="禁止/削弱规则"/>
  </tableColumns>
  <tableStyleInfo name="TableStyleMedium4" showFirstColumn="0" showLastColumn="0" showRowStripes="1" showColumnStripes="0"/>
</table>
</file>

<file path=xl/tables/table27.xml><?xml version="1.0" encoding="utf-8"?>
<table xmlns="http://schemas.openxmlformats.org/spreadsheetml/2006/main" id="27" name="Src_027" displayName="Src_027" ref="A82:C108" totalsRowShown="0">
  <tableColumns count="3">
    <tableColumn id="1" name="保留 ID"/>
    <tableColumn id="2" name="1.0 制式显示模板"/>
    <tableColumn id="3" name="类型"/>
  </tableColumns>
  <tableStyleInfo name="TableStyleMedium4" showFirstColumn="0" showLastColumn="0" showRowStripes="1" showColumnStripes="0"/>
</table>
</file>

<file path=xl/tables/table28.xml><?xml version="1.0" encoding="utf-8"?>
<table xmlns="http://schemas.openxmlformats.org/spreadsheetml/2006/main" id="28" name="Src_028" displayName="Src_028" ref="A113:B119" totalsRowShown="0">
  <tableColumns count="2">
    <tableColumn id="1" name="来源"/>
    <tableColumn id="2" name="完整装备规则"/>
  </tableColumns>
  <tableStyleInfo name="TableStyleMedium4" showFirstColumn="0" showLastColumn="0" showRowStripes="1" showColumnStripes="0"/>
</table>
</file>

<file path=xl/tables/table29.xml><?xml version="1.0" encoding="utf-8"?>
<table xmlns="http://schemas.openxmlformats.org/spreadsheetml/2006/main" id="29" name="Src_029" displayName="Src_029" ref="A124:G128" totalsRowShown="0">
  <tableColumns count="7">
    <tableColumn id="1" name="地图"/>
    <tableColumn id="2" name="凡品"/>
    <tableColumn id="3" name="精制"/>
    <tableColumn id="4" name="上品"/>
    <tableColumn id="5" name="珍品"/>
    <tableColumn id="6" name="法宝"/>
    <tableColumn id="7" name="古宝"/>
  </tableColumns>
  <tableStyleInfo name="TableStyleMedium4" showFirstColumn="0" showLastColumn="0" showRowStripes="1" showColumnStripes="0"/>
</table>
</file>

<file path=xl/tables/table30.xml><?xml version="1.0" encoding="utf-8"?>
<table xmlns="http://schemas.openxmlformats.org/spreadsheetml/2006/main" id="30" name="Src_030" displayName="Src_030" ref="A133:D138" totalsRowShown="0">
  <tableColumns count="4">
    <tableColumn id="1" name="铁胚"/>
    <tableColumn id="2" name="玄铁"/>
    <tableColumn id="3" name="庚精"/>
    <tableColumn id="4" name="产出"/>
  </tableColumns>
  <tableStyleInfo name="TableStyleMedium4" showFirstColumn="0" showLastColumn="0" showRowStripes="1" showColumnStripes="0"/>
</table>
</file>

<file path=xl/tables/table31.xml><?xml version="1.0" encoding="utf-8"?>
<table xmlns="http://schemas.openxmlformats.org/spreadsheetml/2006/main" id="31" name="Src_031" displayName="Src_031" ref="A143:D148" totalsRowShown="0">
  <tableColumns count="4">
    <tableColumn id="1" name="品质"/>
    <tableColumn id="2" name="玄铁"/>
    <tableColumn id="3" name="庚精"/>
    <tableColumn id="4" name="器灵残片"/>
  </tableColumns>
  <tableStyleInfo name="TableStyleMedium4" showFirstColumn="0" showLastColumn="0" showRowStripes="1" showColumnStripes="0"/>
</table>
</file>

<file path=xl/tables/table32.xml><?xml version="1.0" encoding="utf-8"?>
<table xmlns="http://schemas.openxmlformats.org/spreadsheetml/2006/main" id="32" name="Src_032" displayName="Src_032" ref="A6:F11" totalsRowShown="0">
  <tableColumns count="6">
    <tableColumn id="1" name="ID/名称"/>
    <tableColumn id="2" name="槽位"/>
    <tableColumn id="3" name="每纹预算"/>
    <tableColumn id="4" name="固定效果"/>
    <tableColumn id="5" name="七维池覆盖"/>
    <tableColumn id="6" name="来源"/>
  </tableColumns>
  <tableStyleInfo name="TableStyleMedium4" showFirstColumn="0" showLastColumn="0" showRowStripes="1" showColumnStripes="0"/>
</table>
</file>

<file path=xl/tables/table33.xml><?xml version="1.0" encoding="utf-8"?>
<table xmlns="http://schemas.openxmlformats.org/spreadsheetml/2006/main" id="33" name="Src_033" displayName="Src_033" ref="A16:F30" totalsRowShown="0">
  <tableColumns count="6">
    <tableColumn id="1" name="ID/名称"/>
    <tableColumn id="2" name="槽位"/>
    <tableColumn id="3" name="每纹预算"/>
    <tableColumn id="4" name="固定效果"/>
    <tableColumn id="5" name="七维池覆盖"/>
    <tableColumn id="6" name="确定来源/任务链"/>
  </tableColumns>
  <tableStyleInfo name="TableStyleMedium4" showFirstColumn="0" showLastColumn="0" showRowStripes="1" showColumnStripes="0"/>
</table>
</file>

<file path=xl/tables/table34.xml><?xml version="1.0" encoding="utf-8"?>
<table xmlns="http://schemas.openxmlformats.org/spreadsheetml/2006/main" id="34" name="Src_034" displayName="Src_034" ref="A35:G37" totalsRowShown="0">
  <tableColumns count="7">
    <tableColumn id="1" name="ID/名称"/>
    <tableColumn id="2" name="模板/槽位"/>
    <tableColumn id="3" name="品质"/>
    <tableColumn id="4" name="每纹预算"/>
    <tableColumn id="5" name="固定附着器纹"/>
    <tableColumn id="6" name="固定效果"/>
    <tableColumn id="7" name="直接来源"/>
  </tableColumns>
  <tableStyleInfo name="TableStyleMedium4" showFirstColumn="0" showLastColumn="0" showRowStripes="1" showColumnStripes="0"/>
</table>
</file>

<file path=xl/tables/table35.xml><?xml version="1.0" encoding="utf-8"?>
<table xmlns="http://schemas.openxmlformats.org/spreadsheetml/2006/main" id="35" name="Src_035" displayName="Src_035" ref="A42:F49" totalsRowShown="0">
  <tableColumns count="6">
    <tableColumn id="1" name="ID/名称"/>
    <tableColumn id="2" name="槽位"/>
    <tableColumn id="3" name="固定效果"/>
    <tableColumn id="4" name="固定七维（力/法/神/速/肉/护/定）"/>
    <tableColumn id="5" name="合计"/>
    <tableColumn id="6" name="直接获得条件"/>
  </tableColumns>
  <tableStyleInfo name="TableStyleMedium4" showFirstColumn="0" showLastColumn="0" showRowStripes="1" showColumnStripes="0"/>
</table>
</file>

<file path=xl/tables/table36.xml><?xml version="1.0" encoding="utf-8"?>
<table xmlns="http://schemas.openxmlformats.org/spreadsheetml/2006/main" id="36" name="Enemies_036" displayName="Enemies_036" ref="A4:T38" totalsRowShown="0">
  <tableColumns count="20">
    <tableColumn id="1" name="地图"/>
    <tableColumn id="2" name="层级"/>
    <tableColumn id="3" name="稳定 ID"/>
    <tableColumn id="4" name="名称"/>
    <tableColumn id="5" name="Lv"/>
    <tableColumn id="6" name="HP"/>
    <tableColumn id="7" name="力道"/>
    <tableColumn id="8" name="法力"/>
    <tableColumn id="9" name="神识"/>
    <tableColumn id="10" name="遁速"/>
    <tableColumn id="11" name="肉身"/>
    <tableColumn id="12" name="护体"/>
    <tableColumn id="13" name="定力"/>
    <tableColumn id="14" name="七维战力"/>
    <tableColumn id="15" name="首次魂晶"/>
    <tableColumn id="16" name="重复魂晶"/>
    <tableColumn id="17" name="技能/机制"/>
    <tableColumn id="18" name="材料/掉落"/>
    <tableColumn id="19" name="事实源"/>
    <tableColumn id="20" name="备注"/>
  </tableColumns>
  <tableStyleInfo name="TableStyleMedium4" showFirstColumn="0" showLastColumn="0" showRowStripes="1" showColumnStripes="0"/>
</table>
</file>

<file path=xl/tables/table37.xml><?xml version="1.0" encoding="utf-8"?>
<table xmlns="http://schemas.openxmlformats.org/spreadsheetml/2006/main" id="37" name="BossOverview_037" displayName="BossOverview_037" ref="A4:P8" totalsRowShown="0">
  <tableColumns count="16">
    <tableColumn id="1" name="地图"/>
    <tableColumn id="2" name="Boss"/>
    <tableColumn id="3" name="Lv"/>
    <tableColumn id="4" name="主体 HP"/>
    <tableColumn id="5" name="附加部件/召唤 HP"/>
    <tableColumn id="6" name="力"/>
    <tableColumn id="7" name="法"/>
    <tableColumn id="8" name="神"/>
    <tableColumn id="9" name="速"/>
    <tableColumn id="10" name="肉"/>
    <tableColumn id="11" name="护"/>
    <tableColumn id="12" name="定"/>
    <tableColumn id="13" name="七维战力"/>
    <tableColumn id="14" name="首杀魂晶"/>
    <tableColumn id="15" name="主要固定奖励"/>
    <tableColumn id="16" name="逃生"/>
  </tableColumns>
  <tableStyleInfo name="TableStyleMedium4" showFirstColumn="0" showLastColumn="0" showRowStripes="1" showColumnStripes="0"/>
</table>
</file>

<file path=xl/tables/table38.xml><?xml version="1.0" encoding="utf-8"?>
<table xmlns="http://schemas.openxmlformats.org/spreadsheetml/2006/main" id="38" name="BossSkills_038" displayName="BossSkills_038" ref="A13:H36" totalsRowShown="0">
  <tableColumns count="8">
    <tableColumn id="1" name="地图"/>
    <tableColumn id="2" name="Boss"/>
    <tableColumn id="3" name="阶段"/>
    <tableColumn id="4" name="技能/部件"/>
    <tableColumn id="5" name="I/CD"/>
    <tableColumn id="6" name="基础数值"/>
    <tableColumn id="7" name="规则"/>
    <tableColumn id="8" name="事实源"/>
  </tableColumns>
  <tableStyleInfo name="TableStyleMedium4" showFirstColumn="0" showLastColumn="0" showRowStripes="1" showColumnStripes="0"/>
</table>
</file>

<file path=xl/tables/table39.xml><?xml version="1.0" encoding="utf-8"?>
<table xmlns="http://schemas.openxmlformats.org/spreadsheetml/2006/main" id="39" name="ForgeLevel_039" displayName="ForgeLevel_039" ref="A4:D28" totalsRowShown="0">
  <tableColumns count="4">
    <tableColumn id="1" name="坊级"/>
    <tableColumn id="2" name="升至本级灵木"/>
    <tableColumn id="3" name="累计灵木"/>
    <tableColumn id="4" name="解锁内容"/>
  </tableColumns>
  <tableStyleInfo name="TableStyleMedium4" showFirstColumn="0" showLastColumn="0" showRowStripes="1" showColumnStripes="0"/>
</table>
</file>

<file path=xl/tables/table40.xml><?xml version="1.0" encoding="utf-8"?>
<table xmlns="http://schemas.openxmlformats.org/spreadsheetml/2006/main" id="40" name="Recipes_040" displayName="Recipes_040" ref="A33:H37" totalsRowShown="0">
  <tableColumns count="8">
    <tableColumn id="1" name="配方"/>
    <tableColumn id="2" name="解锁坊级"/>
    <tableColumn id="3" name="材料A"/>
    <tableColumn id="4" name="数量A"/>
    <tableColumn id="5" name="材料B"/>
    <tableColumn id="6" name="数量B"/>
    <tableColumn id="7" name="灵石费"/>
    <tableColumn id="8" name="产出"/>
  </tableColumns>
  <tableStyleInfo name="TableStyleMedium4" showFirstColumn="0" showLastColumn="0" showRowStripes="1" showColumnStripes="0"/>
</table>
</file>

<file path=xl/tables/table41.xml><?xml version="1.0" encoding="utf-8"?>
<table xmlns="http://schemas.openxmlformats.org/spreadsheetml/2006/main" id="41" name="Src_041" displayName="Src_041" ref="A42:C46" totalsRowShown="0">
  <tableColumns count="3">
    <tableColumn id="1" name="阶段"/>
    <tableColumn id="2" name="灵木"/>
    <tableColumn id="3" name="完成后每次入山休整上限"/>
  </tableColumns>
  <tableStyleInfo name="TableStyleMedium4" showFirstColumn="0" showLastColumn="0" showRowStripes="1" showColumnStripes="0"/>
</table>
</file>

<file path=xl/tables/table42.xml><?xml version="1.0" encoding="utf-8"?>
<table xmlns="http://schemas.openxmlformats.org/spreadsheetml/2006/main" id="42" name="Src_042" displayName="Src_042" ref="A51:D55" totalsRowShown="0">
  <tableColumns count="4">
    <tableColumn id="1" name="阶段"/>
    <tableColumn id="2" name="照影石"/>
    <tableColumn id="3" name="庚精"/>
    <tableColumn id="4" name="完成后探查半径"/>
  </tableColumns>
  <tableStyleInfo name="TableStyleMedium4" showFirstColumn="0" showLastColumn="0" showRowStripes="1" showColumnStripes="0"/>
</table>
</file>

<file path=xl/tables/table43.xml><?xml version="1.0" encoding="utf-8"?>
<table xmlns="http://schemas.openxmlformats.org/spreadsheetml/2006/main" id="43" name="ResourcePackages_043" displayName="ResourcePackages_043" ref="A6:G26" totalsRowShown="0">
  <tableColumns count="7">
    <tableColumn id="1" name="资源"/>
    <tableColumn id="2" name="档位"/>
    <tableColumn id="3" name="稳定 ID"/>
    <tableColumn id="4" name="开包产量"/>
    <tableColumn id="5" name="每 ID 上限"/>
    <tableColumn id="6" name="是否受灵圃容量"/>
    <tableColumn id="7" name="事实源"/>
  </tableColumns>
  <tableStyleInfo name="TableStyleMedium4" showFirstColumn="0" showLastColumn="0" showRowStripes="1" showColumnStripes="0"/>
</table>
</file>

<file path=xl/tables/table44.xml><?xml version="1.0" encoding="utf-8"?>
<table xmlns="http://schemas.openxmlformats.org/spreadsheetml/2006/main" id="44" name="Src_044" displayName="Src_044" ref="A31:D38" totalsRowShown="0">
  <tableColumns count="4">
    <tableColumn id="1" name="层级"/>
    <tableColumn id="2" name="1.0内容"/>
    <tableColumn id="3" name="存放与上限"/>
    <tableColumn id="4" name="交易行关系"/>
  </tableColumns>
  <tableStyleInfo name="TableStyleMedium4" showFirstColumn="0" showLastColumn="0" showRowStripes="1" showColumnStripes="0"/>
</table>
</file>

<file path=xl/tables/table45.xml><?xml version="1.0" encoding="utf-8"?>
<table xmlns="http://schemas.openxmlformats.org/spreadsheetml/2006/main" id="45" name="Src_045" displayName="Src_045" ref="A43:D45" totalsRowShown="0">
  <tableColumns count="4">
    <tableColumn id="1" name="名称"/>
    <tableColumn id="2" name="主要来源"/>
    <tableColumn id="3" name="1.0主要消耗"/>
    <tableColumn id="4" name="明确不承担的职责"/>
  </tableColumns>
  <tableStyleInfo name="TableStyleMedium4" showFirstColumn="0" showLastColumn="0" showRowStripes="1" showColumnStripes="0"/>
</table>
</file>

<file path=xl/tables/table46.xml><?xml version="1.0" encoding="utf-8"?>
<table xmlns="http://schemas.openxmlformats.org/spreadsheetml/2006/main" id="46" name="Src_046" displayName="Src_046" ref="A50:E55" totalsRowShown="0">
  <tableColumns count="5">
    <tableColumn id="1" name="材料"/>
    <tableColumn id="2" name="首次主要出现"/>
    <tableColumn id="3" name="主要来源"/>
    <tableColumn id="4" name="主要用途"/>
    <tableColumn id="5" name="保护与交易"/>
  </tableColumns>
  <tableStyleInfo name="TableStyleMedium4" showFirstColumn="0" showLastColumn="0" showRowStripes="1" showColumnStripes="0"/>
</table>
</file>

<file path=xl/tables/table47.xml><?xml version="1.0" encoding="utf-8"?>
<table xmlns="http://schemas.openxmlformats.org/spreadsheetml/2006/main" id="47" name="Src_047" displayName="Src_047" ref="A60:C70" totalsRowShown="0">
  <tableColumns count="3">
    <tableColumn id="1" name="加工品"/>
    <tableColumn id="2" name="材料关系"/>
    <tableColumn id="3" name="规则边界"/>
  </tableColumns>
  <tableStyleInfo name="TableStyleMedium4" showFirstColumn="0" showLastColumn="0" showRowStripes="1" showColumnStripes="0"/>
</table>
</file>

<file path=xl/tables/table48.xml><?xml version="1.0" encoding="utf-8"?>
<table xmlns="http://schemas.openxmlformats.org/spreadsheetml/2006/main" id="48" name="Src_048" displayName="Src_048" ref="A75:C79" totalsRowShown="0">
  <tableColumns count="3">
    <tableColumn id="1" name="包装档位"/>
    <tableColumn id="2" name="定位"/>
    <tableColumn id="3" name="典型来源"/>
  </tableColumns>
  <tableStyleInfo name="TableStyleMedium4" showFirstColumn="0" showLastColumn="0" showRowStripes="1" showColumnStripes="0"/>
</table>
</file>

<file path=xl/tables/table49.xml><?xml version="1.0" encoding="utf-8"?>
<table xmlns="http://schemas.openxmlformats.org/spreadsheetml/2006/main" id="49" name="Src_049" displayName="Src_049" ref="A84:E88" totalsRowShown="0">
  <tableColumns count="5">
    <tableColumn id="1" name="食物示例"/>
    <tableColumn id="2" name="叙事来源"/>
    <tableColumn id="3" name="grainYield"/>
    <tableColumn id="4" name="负重"/>
    <tableColumn id="5" name="每ID持有上限"/>
  </tableColumns>
  <tableStyleInfo name="TableStyleMedium4" showFirstColumn="0" showLastColumn="0" showRowStripes="1" showColumnStripes="0"/>
</table>
</file>

<file path=xl/tables/table50.xml><?xml version="1.0" encoding="utf-8"?>
<table xmlns="http://schemas.openxmlformats.org/spreadsheetml/2006/main" id="50" name="Src_050" displayName="Src_050" ref="A93:C97" totalsRowShown="0">
  <tableColumns count="3">
    <tableColumn id="1" name="地图"/>
    <tableColumn id="2" name="主材料职责"/>
    <tableColumn id="3" name="不应承担的职责"/>
  </tableColumns>
  <tableStyleInfo name="TableStyleMedium4" showFirstColumn="0" showLastColumn="0" showRowStripes="1" showColumnStripes="0"/>
</table>
</file>

<file path=xl/tables/table51.xml><?xml version="1.0" encoding="utf-8"?>
<table xmlns="http://schemas.openxmlformats.org/spreadsheetml/2006/main" id="51" name="Src_051" displayName="Src_051" ref="A102:D113" totalsRowShown="0">
  <tableColumns count="4">
    <tableColumn id="1" name="地图"/>
    <tableColumn id="2" name="资源点原型"/>
    <tableColumn id="3" name="首次产量"/>
    <tableColumn id="4" name="重复产量"/>
  </tableColumns>
  <tableStyleInfo name="TableStyleMedium4" showFirstColumn="0" showLastColumn="0" showRowStripes="1" showColumnStripes="0"/>
</table>
</file>

<file path=xl/tables/table52.xml><?xml version="1.0" encoding="utf-8"?>
<table xmlns="http://schemas.openxmlformats.org/spreadsheetml/2006/main" id="52" name="Src_052" displayName="Src_052" ref="A118:D125" totalsRowShown="0">
  <tableColumns count="4">
    <tableColumn id="1" name="地图"/>
    <tableColumn id="2" name="材料点原型"/>
    <tableColumn id="3" name="首次产量"/>
    <tableColumn id="4" name="重复产量"/>
  </tableColumns>
  <tableStyleInfo name="TableStyleMedium4" showFirstColumn="0" showLastColumn="0" showRowStripes="1" showColumnStripes="0"/>
</table>
</file>

<file path=xl/tables/table53.xml><?xml version="1.0" encoding="utf-8"?>
<table xmlns="http://schemas.openxmlformats.org/spreadsheetml/2006/main" id="53" name="RefreshFee_053" displayName="RefreshFee_053" ref="A6:D10" totalsRowShown="0">
  <tableColumns count="4">
    <tableColumn id="1" name="最高地图"/>
    <tableColumn id="2" name="地图序号"/>
    <tableColumn id="3" name="手动刷新费"/>
    <tableColumn id="4" name="自然刷新"/>
  </tableColumns>
  <tableStyleInfo name="TableStyleMedium4" showFirstColumn="0" showLastColumn="0" showRowStripes="1" showColumnStripes="0"/>
</table>
</file>

<file path=xl/tables/table54.xml><?xml version="1.0" encoding="utf-8"?>
<table xmlns="http://schemas.openxmlformats.org/spreadsheetml/2006/main" id="54" name="StonePackCheck_054" displayName="StonePackCheck_054" ref="A13:F17" totalsRowShown="0">
  <tableColumns count="6">
    <tableColumn id="1" name="档位"/>
    <tableColumn id="2" name="开包灵石"/>
    <tableColumn id="3" name="购买价"/>
    <tableColumn id="4" name="单包净值"/>
    <tableColumn id="5" name="最低刷新费"/>
    <tableColumn id="6" name="状态"/>
  </tableColumns>
  <tableStyleInfo name="TableStyleMedium4" showFirstColumn="0" showLastColumn="0" showRowStripes="1" showColumnStripes="0"/>
</table>
</file>

<file path=xl/tables/table55.xml><?xml version="1.0" encoding="utf-8"?>
<table xmlns="http://schemas.openxmlformats.org/spreadsheetml/2006/main" id="55" name="ReviveCost_055" displayName="ReviveCost_055" ref="A22:F52" totalsRowShown="0">
  <tableColumns count="6">
    <tableColumn id="1" name="等级"/>
    <tableColumn id="2" name="境界"/>
    <tableColumn id="3" name="原始费用"/>
    <tableColumn id="4" name="还魂费用"/>
    <tableColumn id="5" name="公式口径"/>
    <tableColumn id="6" name="事实源"/>
  </tableColumns>
  <tableStyleInfo name="TableStyleMedium4" showFirstColumn="0" showLastColumn="0" showRowStripes="1" showColumnStripes="0"/>
</table>
</file>

<file path=xl/tables/table56.xml><?xml version="1.0" encoding="utf-8"?>
<table xmlns="http://schemas.openxmlformats.org/spreadsheetml/2006/main" id="56" name="Src_056" displayName="Src_056" ref="A57:C61" totalsRowShown="0">
  <tableColumns count="3">
    <tableColumn id="1" name="常备商品"/>
    <tableColumn id="2" name="单价（灵石）"/>
    <tableColumn id="3" name="每批库存"/>
  </tableColumns>
  <tableStyleInfo name="TableStyleMedium4" showFirstColumn="0" showLastColumn="0" showRowStripes="1" showColumnStripes="0"/>
</table>
</file>

<file path=xl/tables/table57.xml><?xml version="1.0" encoding="utf-8"?>
<table xmlns="http://schemas.openxmlformats.org/spreadsheetml/2006/main" id="57" name="Src_057" displayName="Src_057" ref="A66:D72" totalsRowShown="0">
  <tableColumns count="4">
    <tableColumn id="1" name="大类"/>
    <tableColumn id="2" name="权重"/>
    <tableColumn id="3" name="单格库存"/>
    <tableColumn id="4" name="价格"/>
  </tableColumns>
  <tableStyleInfo name="TableStyleMedium4" showFirstColumn="0" showLastColumn="0" showRowStripes="1" showColumnStripes="0"/>
</table>
</file>

<file path=xl/tables/table58.xml><?xml version="1.0" encoding="utf-8"?>
<table xmlns="http://schemas.openxmlformats.org/spreadsheetml/2006/main" id="58" name="Src_058" displayName="Src_058" ref="A77:E82" totalsRowShown="0">
  <tableColumns count="5">
    <tableColumn id="1" name="资源包"/>
    <tableColumn id="2" name="下品"/>
    <tableColumn id="3" name="上品"/>
    <tableColumn id="4" name="特级"/>
    <tableColumn id="5" name="仙品"/>
  </tableColumns>
  <tableStyleInfo name="TableStyleMedium4" showFirstColumn="0" showLastColumn="0" showRowStripes="1" showColumnStripes="0"/>
</table>
</file>

<file path=xl/tables/table59.xml><?xml version="1.0" encoding="utf-8"?>
<table xmlns="http://schemas.openxmlformats.org/spreadsheetml/2006/main" id="59" name="Src_059" displayName="Src_059" ref="A87:D92" totalsRowShown="0">
  <tableColumns count="4">
    <tableColumn id="1" name="单名杂役岗位"/>
    <tableColumn id="2" name="每30分钟产出"/>
    <tableColumn id="3" name="每30分钟灵粮维护"/>
    <tableColumn id="4" name="开放条件"/>
  </tableColumns>
  <tableStyleInfo name="TableStyleMedium4" showFirstColumn="0" showLastColumn="0" showRowStripes="1" showColumnStripes="0"/>
</table>
</file>

<file path=xl/tables/table60.xml><?xml version="1.0" encoding="utf-8"?>
<table xmlns="http://schemas.openxmlformats.org/spreadsheetml/2006/main" id="60" name="Src_060" displayName="Src_060" ref="A97:F102" totalsRowShown="0">
  <tableColumns count="6">
    <tableColumn id="1" name="储量等级"/>
    <tableColumn id="2" name="灵粮容量/升级木"/>
    <tableColumn id="3" name="灵木容量/升级木"/>
    <tableColumn id="4" name="玄铁容量/升级木"/>
    <tableColumn id="5" name="灵晶容量/升级木"/>
    <tableColumn id="6" name="庚精容量/升级木"/>
  </tableColumns>
  <tableStyleInfo name="TableStyleMedium4" showFirstColumn="0" showLastColumn="0" showRowStripes="1" showColumnStripes="0"/>
</table>
</file>

<file path=xl/tables/table61.xml><?xml version="1.0" encoding="utf-8"?>
<table xmlns="http://schemas.openxmlformats.org/spreadsheetml/2006/main" id="61" name="DungeonYield_061" displayName="DungeonYield_061" ref="A4:L10" totalsRowShown="0">
  <tableColumns count="12">
    <tableColumn id="1" name="副本"/>
    <tableColumn id="2" name="难度"/>
    <tableColumn id="3" name="永久解锁"/>
    <tableColumn id="4" name="推荐战力"/>
    <tableColumn id="5" name="平均分钟"/>
    <tableColumn id="6" name="货币"/>
    <tableColumn id="7" name="保底数量"/>
    <tableColumn id="8" name="回算效率/分钟"/>
    <tableColumn id="9" name="与展示值差"/>
    <tableColumn id="10" name="附加奖励"/>
    <tableColumn id="11" name="装备概率"/>
    <tableColumn id="12" name="事实源"/>
  </tableColumns>
  <tableStyleInfo name="TableStyleMedium4" showFirstColumn="0" showLastColumn="0" showRowStripes="1" showColumnStripes="0"/>
</table>
</file>

<file path=xl/tables/table62.xml><?xml version="1.0" encoding="utf-8"?>
<table xmlns="http://schemas.openxmlformats.org/spreadsheetml/2006/main" id="62" name="Src_062" displayName="Src_062" ref="A15:E18" totalsRowShown="0">
  <tableColumns count="5">
    <tableColumn id="1" name="难度"/>
    <tableColumn id="2" name="凡品"/>
    <tableColumn id="3" name="精制"/>
    <tableColumn id="4" name="上品"/>
    <tableColumn id="5" name="模板范围"/>
  </tableColumns>
  <tableStyleInfo name="TableStyleMedium4" showFirstColumn="0" showLastColumn="0" showRowStripes="1" showColumnStripes="0"/>
</table>
</file>

<file path=xl/tables/table63.xml><?xml version="1.0" encoding="utf-8"?>
<table xmlns="http://schemas.openxmlformats.org/spreadsheetml/2006/main" id="63" name="Src_063" displayName="Src_063" ref="A23:B29" totalsRowShown="0">
  <tableColumns count="2">
    <tableColumn id="1" name="难度"/>
    <tableColumn id="2" name="一次性首通奖励"/>
  </tableColumns>
  <tableStyleInfo name="TableStyleMedium4" showFirstColumn="0" showLastColumn="0" showRowStripes="1" showColumnStripes="0"/>
</table>
</file>

<file path=xl/tables/table64.xml><?xml version="1.0" encoding="utf-8"?>
<table xmlns="http://schemas.openxmlformats.org/spreadsheetml/2006/main" id="64" name="Src_064" displayName="Src_064" ref="A34:D40" totalsRowShown="0">
  <tableColumns count="4">
    <tableColumn id="1" name="难度"/>
    <tableColumn id="2" name="第一战"/>
    <tableColumn id="3" name="第二战"/>
    <tableColumn id="4" name="机制首领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3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5" Type="http://schemas.openxmlformats.org/officeDocument/2006/relationships/table" Target="../tables/table18.xml"/><Relationship Id="rId4" Type="http://schemas.openxmlformats.org/officeDocument/2006/relationships/table" Target="../tables/table17.xml"/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9.xml"/><Relationship Id="rId8" Type="http://schemas.openxmlformats.org/officeDocument/2006/relationships/table" Target="../tables/table28.xml"/><Relationship Id="rId7" Type="http://schemas.openxmlformats.org/officeDocument/2006/relationships/table" Target="../tables/table27.xml"/><Relationship Id="rId6" Type="http://schemas.openxmlformats.org/officeDocument/2006/relationships/table" Target="../tables/table26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1" Type="http://schemas.openxmlformats.org/officeDocument/2006/relationships/table" Target="../tables/table21.xml"/></Relationships>
</file>

<file path=xl/worksheets/_rels/sheet8.xml.rels><?xml version="1.0" encoding="UTF-8" standalone="yes"?>
<Relationships xmlns="http://schemas.openxmlformats.org/package/2006/relationships"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1.xml.rels><?xml version="1.0" encoding="UTF-8" standalone="yes"?>
<Relationships xmlns="http://schemas.openxmlformats.org/package/2006/relationships"><Relationship Id="rId4" Type="http://schemas.openxmlformats.org/officeDocument/2006/relationships/table" Target="../tables/table42.xml"/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1.xml"/><Relationship Id="rId8" Type="http://schemas.openxmlformats.org/officeDocument/2006/relationships/table" Target="../tables/table50.xml"/><Relationship Id="rId7" Type="http://schemas.openxmlformats.org/officeDocument/2006/relationships/table" Target="../tables/table49.xml"/><Relationship Id="rId6" Type="http://schemas.openxmlformats.org/officeDocument/2006/relationships/table" Target="../tables/table48.xml"/><Relationship Id="rId5" Type="http://schemas.openxmlformats.org/officeDocument/2006/relationships/table" Target="../tables/table47.xml"/><Relationship Id="rId4" Type="http://schemas.openxmlformats.org/officeDocument/2006/relationships/table" Target="../tables/table46.xml"/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0" Type="http://schemas.openxmlformats.org/officeDocument/2006/relationships/table" Target="../tables/table52.xml"/><Relationship Id="rId1" Type="http://schemas.openxmlformats.org/officeDocument/2006/relationships/table" Target="../tables/table43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0.xml"/><Relationship Id="rId7" Type="http://schemas.openxmlformats.org/officeDocument/2006/relationships/table" Target="../tables/table59.xml"/><Relationship Id="rId6" Type="http://schemas.openxmlformats.org/officeDocument/2006/relationships/table" Target="../tables/table58.xml"/><Relationship Id="rId5" Type="http://schemas.openxmlformats.org/officeDocument/2006/relationships/table" Target="../tables/table57.xml"/><Relationship Id="rId4" Type="http://schemas.openxmlformats.org/officeDocument/2006/relationships/table" Target="../tables/table56.xml"/><Relationship Id="rId3" Type="http://schemas.openxmlformats.org/officeDocument/2006/relationships/table" Target="../tables/table55.xml"/><Relationship Id="rId2" Type="http://schemas.openxmlformats.org/officeDocument/2006/relationships/table" Target="../tables/table54.xml"/><Relationship Id="rId1" Type="http://schemas.openxmlformats.org/officeDocument/2006/relationships/table" Target="../tables/table53.xml"/></Relationships>
</file>

<file path=xl/worksheets/_rels/sheet14.xml.rels><?xml version="1.0" encoding="UTF-8" standalone="yes"?>
<Relationships xmlns="http://schemas.openxmlformats.org/package/2006/relationships"><Relationship Id="rId4" Type="http://schemas.openxmlformats.org/officeDocument/2006/relationships/table" Target="../tables/table64.xml"/><Relationship Id="rId3" Type="http://schemas.openxmlformats.org/officeDocument/2006/relationships/table" Target="../tables/table63.xml"/><Relationship Id="rId2" Type="http://schemas.openxmlformats.org/officeDocument/2006/relationships/table" Target="../tables/table62.xml"/><Relationship Id="rId1" Type="http://schemas.openxmlformats.org/officeDocument/2006/relationships/table" Target="../tables/table6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"/>
  <sheetViews>
    <sheetView showGridLines="0" tabSelected="1" workbookViewId="0">
      <selection activeCell="A1" sqref="A1:F1"/>
    </sheetView>
  </sheetViews>
  <sheetFormatPr defaultColWidth="9" defaultRowHeight="16.8" outlineLevelCol="5"/>
  <cols>
    <col min="1" max="1" width="22" customWidth="1"/>
    <col min="2" max="2" width="38" customWidth="1"/>
    <col min="3" max="3" width="46" customWidth="1"/>
    <col min="4" max="4" width="68" customWidth="1"/>
    <col min="5" max="6" width="14" customWidth="1"/>
  </cols>
  <sheetData>
    <row r="1" ht="30" customHeight="1" spans="1:6">
      <c r="A1" s="1" t="s">
        <v>0</v>
      </c>
      <c r="B1" s="1"/>
      <c r="C1" s="1"/>
      <c r="D1" s="1"/>
      <c r="E1" s="1"/>
      <c r="F1" s="1"/>
    </row>
    <row r="2" ht="30" customHeight="1" spans="1:6">
      <c r="A2" s="2" t="s">
        <v>1</v>
      </c>
      <c r="B2" s="2"/>
      <c r="C2" s="2"/>
      <c r="D2" s="2"/>
      <c r="E2" s="2"/>
      <c r="F2" s="2"/>
    </row>
    <row r="4" ht="22" customHeight="1" spans="1:6">
      <c r="A4" s="5" t="s">
        <v>2</v>
      </c>
      <c r="B4" s="5"/>
      <c r="C4" s="5"/>
      <c r="D4" s="5"/>
      <c r="E4" s="5"/>
      <c r="F4" s="5"/>
    </row>
    <row r="5" spans="1:6">
      <c r="A5" s="6" t="s">
        <v>3</v>
      </c>
      <c r="B5" s="6"/>
      <c r="C5" s="6"/>
      <c r="D5" s="6"/>
      <c r="E5" s="6"/>
      <c r="F5" s="6"/>
    </row>
    <row r="6" ht="17" spans="1:3">
      <c r="A6" s="3" t="s">
        <v>4</v>
      </c>
      <c r="B6" s="3" t="s">
        <v>5</v>
      </c>
      <c r="C6" s="3" t="s">
        <v>6</v>
      </c>
    </row>
    <row r="7" ht="17" spans="1:3">
      <c r="A7" s="7" t="s">
        <v>7</v>
      </c>
      <c r="B7" s="7" t="s">
        <v>8</v>
      </c>
      <c r="C7" s="7" t="s">
        <v>9</v>
      </c>
    </row>
    <row r="8" ht="17" spans="1:3">
      <c r="A8" s="10" t="s">
        <v>10</v>
      </c>
      <c r="B8" s="10" t="s">
        <v>11</v>
      </c>
      <c r="C8" s="10" t="s">
        <v>12</v>
      </c>
    </row>
    <row r="9" ht="17" spans="1:3">
      <c r="A9" s="10" t="s">
        <v>13</v>
      </c>
      <c r="B9" s="10" t="s">
        <v>14</v>
      </c>
      <c r="C9" s="10" t="s">
        <v>15</v>
      </c>
    </row>
    <row r="10" ht="17" spans="1:3">
      <c r="A10" s="10" t="s">
        <v>16</v>
      </c>
      <c r="B10" s="10" t="s">
        <v>17</v>
      </c>
      <c r="C10" s="10" t="s">
        <v>18</v>
      </c>
    </row>
    <row r="11" ht="17" spans="1:3">
      <c r="A11" s="10" t="s">
        <v>19</v>
      </c>
      <c r="B11" s="10" t="s">
        <v>20</v>
      </c>
      <c r="C11" s="10" t="s">
        <v>21</v>
      </c>
    </row>
    <row r="12" ht="17" spans="1:3">
      <c r="A12" s="10" t="s">
        <v>22</v>
      </c>
      <c r="B12" s="10" t="s">
        <v>23</v>
      </c>
      <c r="C12" s="10" t="s">
        <v>24</v>
      </c>
    </row>
    <row r="13" ht="17" spans="1:3">
      <c r="A13" s="10" t="s">
        <v>25</v>
      </c>
      <c r="B13" s="10" t="s">
        <v>26</v>
      </c>
      <c r="C13" s="10" t="s">
        <v>27</v>
      </c>
    </row>
    <row r="14" ht="17" spans="1:3">
      <c r="A14" s="10" t="s">
        <v>28</v>
      </c>
      <c r="B14" s="10" t="s">
        <v>29</v>
      </c>
      <c r="C14" s="10" t="s">
        <v>30</v>
      </c>
    </row>
    <row r="15" ht="17" spans="1:3">
      <c r="A15" s="10" t="s">
        <v>31</v>
      </c>
      <c r="B15" s="10" t="s">
        <v>32</v>
      </c>
      <c r="C15" s="10" t="s">
        <v>33</v>
      </c>
    </row>
    <row r="16" ht="17" spans="1:3">
      <c r="A16" s="10" t="s">
        <v>34</v>
      </c>
      <c r="B16" s="10" t="s">
        <v>35</v>
      </c>
      <c r="C16" s="10" t="s">
        <v>36</v>
      </c>
    </row>
    <row r="17" ht="17" spans="1:3">
      <c r="A17" s="10" t="s">
        <v>37</v>
      </c>
      <c r="B17" s="10" t="s">
        <v>38</v>
      </c>
      <c r="C17" s="10" t="s">
        <v>39</v>
      </c>
    </row>
    <row r="18" ht="17" spans="1:3">
      <c r="A18" s="10" t="s">
        <v>40</v>
      </c>
      <c r="B18" s="10" t="s">
        <v>41</v>
      </c>
      <c r="C18" s="10" t="s">
        <v>42</v>
      </c>
    </row>
    <row r="19" ht="17" spans="1:3">
      <c r="A19" s="10" t="s">
        <v>43</v>
      </c>
      <c r="B19" s="10" t="s">
        <v>44</v>
      </c>
      <c r="C19" s="10" t="s">
        <v>45</v>
      </c>
    </row>
    <row r="22" ht="22" customHeight="1" spans="1:6">
      <c r="A22" s="5" t="s">
        <v>46</v>
      </c>
      <c r="B22" s="5"/>
      <c r="C22" s="5"/>
      <c r="D22" s="5"/>
      <c r="E22" s="5"/>
      <c r="F22" s="5"/>
    </row>
    <row r="23" spans="1:6">
      <c r="A23" s="6" t="s">
        <v>47</v>
      </c>
      <c r="B23" s="6"/>
      <c r="C23" s="6"/>
      <c r="D23" s="6"/>
      <c r="E23" s="6"/>
      <c r="F23" s="6"/>
    </row>
    <row r="24" ht="17" spans="1:4">
      <c r="A24" s="3" t="s">
        <v>48</v>
      </c>
      <c r="B24" s="3" t="s">
        <v>49</v>
      </c>
      <c r="C24" s="3" t="s">
        <v>50</v>
      </c>
      <c r="D24" s="3" t="s">
        <v>51</v>
      </c>
    </row>
    <row r="25" ht="34" spans="1:4">
      <c r="A25" s="7" t="s">
        <v>52</v>
      </c>
      <c r="B25" s="7" t="s">
        <v>53</v>
      </c>
      <c r="C25" s="7" t="s">
        <v>54</v>
      </c>
      <c r="D25" s="7" t="s">
        <v>55</v>
      </c>
    </row>
    <row r="26" ht="17" spans="1:4">
      <c r="A26" s="10" t="s">
        <v>56</v>
      </c>
      <c r="B26" s="10" t="s">
        <v>57</v>
      </c>
      <c r="C26" s="10" t="s">
        <v>58</v>
      </c>
      <c r="D26" s="10" t="s">
        <v>59</v>
      </c>
    </row>
    <row r="27" ht="34" spans="1:4">
      <c r="A27" s="10" t="s">
        <v>60</v>
      </c>
      <c r="B27" s="10" t="s">
        <v>53</v>
      </c>
      <c r="C27" s="10" t="s">
        <v>54</v>
      </c>
      <c r="D27" s="10" t="s">
        <v>61</v>
      </c>
    </row>
    <row r="28" ht="34" spans="1:4">
      <c r="A28" s="10" t="s">
        <v>62</v>
      </c>
      <c r="B28" s="10" t="s">
        <v>53</v>
      </c>
      <c r="C28" s="10" t="s">
        <v>58</v>
      </c>
      <c r="D28" s="10" t="s">
        <v>63</v>
      </c>
    </row>
    <row r="29" ht="34" spans="1:4">
      <c r="A29" s="10" t="s">
        <v>64</v>
      </c>
      <c r="B29" s="10" t="s">
        <v>53</v>
      </c>
      <c r="C29" s="10" t="s">
        <v>54</v>
      </c>
      <c r="D29" s="10" t="s">
        <v>65</v>
      </c>
    </row>
    <row r="30" ht="34" spans="1:4">
      <c r="A30" s="10" t="s">
        <v>66</v>
      </c>
      <c r="B30" s="10" t="s">
        <v>53</v>
      </c>
      <c r="C30" s="10" t="s">
        <v>54</v>
      </c>
      <c r="D30" s="10" t="s">
        <v>67</v>
      </c>
    </row>
    <row r="31" ht="34" spans="1:4">
      <c r="A31" s="10" t="s">
        <v>68</v>
      </c>
      <c r="B31" s="10" t="s">
        <v>53</v>
      </c>
      <c r="C31" s="10" t="s">
        <v>54</v>
      </c>
      <c r="D31" s="10" t="s">
        <v>69</v>
      </c>
    </row>
    <row r="32" ht="34" spans="1:4">
      <c r="A32" s="10" t="s">
        <v>70</v>
      </c>
      <c r="B32" s="10" t="s">
        <v>71</v>
      </c>
      <c r="C32" s="10" t="s">
        <v>54</v>
      </c>
      <c r="D32" s="10" t="s">
        <v>72</v>
      </c>
    </row>
  </sheetData>
  <mergeCells count="6">
    <mergeCell ref="A1:F1"/>
    <mergeCell ref="A2:F2"/>
    <mergeCell ref="A4:F4"/>
    <mergeCell ref="A5:F5"/>
    <mergeCell ref="A22:F22"/>
    <mergeCell ref="A23:F23"/>
  </mergeCells>
  <pageMargins left="0.7" right="0.7" top="0.75" bottom="0.75" header="0.3" footer="0.3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showGridLines="0" workbookViewId="0">
      <selection activeCell="A1" sqref="A1:F1"/>
    </sheetView>
  </sheetViews>
  <sheetFormatPr defaultColWidth="9" defaultRowHeight="16.8" outlineLevelCol="5"/>
  <cols>
    <col min="1" max="1" width="18" customWidth="1"/>
    <col min="2" max="2" width="28" customWidth="1"/>
    <col min="3" max="3" width="16" customWidth="1"/>
    <col min="4" max="5" width="14" customWidth="1"/>
    <col min="6" max="6" width="48" customWidth="1"/>
  </cols>
  <sheetData>
    <row r="1" ht="30" customHeight="1" spans="1:6">
      <c r="A1" s="1" t="s">
        <v>73</v>
      </c>
      <c r="B1" s="1"/>
      <c r="C1" s="1"/>
      <c r="D1" s="1"/>
      <c r="E1" s="1"/>
      <c r="F1" s="1"/>
    </row>
    <row r="2" ht="30" customHeight="1" spans="1:6">
      <c r="A2" s="2" t="s">
        <v>74</v>
      </c>
      <c r="B2" s="2"/>
      <c r="C2" s="2"/>
      <c r="D2" s="2"/>
      <c r="E2" s="2"/>
      <c r="F2" s="2"/>
    </row>
    <row r="4" ht="17" spans="1:5">
      <c r="A4" s="3" t="s">
        <v>75</v>
      </c>
      <c r="B4" s="3" t="s">
        <v>76</v>
      </c>
      <c r="C4" s="3" t="s">
        <v>77</v>
      </c>
      <c r="D4" s="3" t="s">
        <v>78</v>
      </c>
      <c r="E4" s="3" t="s">
        <v>79</v>
      </c>
    </row>
    <row r="5" ht="17" spans="1:5">
      <c r="A5" s="7" t="s">
        <v>80</v>
      </c>
      <c r="B5" s="7" t="s">
        <v>81</v>
      </c>
      <c r="C5" s="9">
        <v>20</v>
      </c>
      <c r="D5" s="7" t="s">
        <v>82</v>
      </c>
      <c r="E5" s="7" t="s">
        <v>83</v>
      </c>
    </row>
    <row r="6" ht="17" spans="1:5">
      <c r="A6" s="10" t="s">
        <v>84</v>
      </c>
      <c r="B6" s="10" t="s">
        <v>85</v>
      </c>
      <c r="C6" s="11">
        <v>4</v>
      </c>
      <c r="D6" s="10" t="s">
        <v>86</v>
      </c>
      <c r="E6" s="10" t="s">
        <v>87</v>
      </c>
    </row>
    <row r="7" ht="17" spans="1:5">
      <c r="A7" s="10" t="s">
        <v>88</v>
      </c>
      <c r="B7" s="10" t="s">
        <v>89</v>
      </c>
      <c r="C7" s="11">
        <v>30</v>
      </c>
      <c r="D7" s="10" t="s">
        <v>90</v>
      </c>
      <c r="E7" s="10" t="s">
        <v>91</v>
      </c>
    </row>
    <row r="8" ht="17" spans="1:5">
      <c r="A8" s="10" t="s">
        <v>92</v>
      </c>
      <c r="B8" s="10" t="s">
        <v>93</v>
      </c>
      <c r="C8" s="11">
        <v>2</v>
      </c>
      <c r="D8" s="10" t="s">
        <v>94</v>
      </c>
      <c r="E8" s="10" t="s">
        <v>95</v>
      </c>
    </row>
    <row r="9" ht="17" spans="1:5">
      <c r="A9" s="10" t="s">
        <v>92</v>
      </c>
      <c r="B9" s="10" t="s">
        <v>96</v>
      </c>
      <c r="C9" s="11">
        <v>6</v>
      </c>
      <c r="D9" s="10" t="s">
        <v>97</v>
      </c>
      <c r="E9" s="10" t="s">
        <v>98</v>
      </c>
    </row>
    <row r="10" ht="17" spans="1:5">
      <c r="A10" s="10" t="s">
        <v>99</v>
      </c>
      <c r="B10" s="10" t="s">
        <v>100</v>
      </c>
      <c r="C10" s="12">
        <v>0.35</v>
      </c>
      <c r="D10" s="10" t="s">
        <v>101</v>
      </c>
      <c r="E10" s="10" t="s">
        <v>102</v>
      </c>
    </row>
    <row r="11" ht="17" spans="1:5">
      <c r="A11" s="10" t="s">
        <v>99</v>
      </c>
      <c r="B11" s="10" t="s">
        <v>103</v>
      </c>
      <c r="C11" s="11">
        <v>100</v>
      </c>
      <c r="D11" s="10" t="s">
        <v>104</v>
      </c>
      <c r="E11" s="10" t="s">
        <v>105</v>
      </c>
    </row>
    <row r="12" ht="17" spans="1:5">
      <c r="A12" s="10" t="s">
        <v>99</v>
      </c>
      <c r="B12" s="10" t="s">
        <v>106</v>
      </c>
      <c r="C12" s="11">
        <v>5</v>
      </c>
      <c r="D12" s="10" t="s">
        <v>107</v>
      </c>
      <c r="E12" s="10" t="s">
        <v>105</v>
      </c>
    </row>
    <row r="13" ht="17" spans="1:5">
      <c r="A13" s="10" t="s">
        <v>108</v>
      </c>
      <c r="B13" s="10" t="s">
        <v>109</v>
      </c>
      <c r="C13" s="11">
        <v>100</v>
      </c>
      <c r="D13" s="10" t="s">
        <v>110</v>
      </c>
      <c r="E13" s="10" t="s">
        <v>111</v>
      </c>
    </row>
    <row r="14" ht="17" spans="1:5">
      <c r="A14" s="10" t="s">
        <v>112</v>
      </c>
      <c r="B14" s="10" t="s">
        <v>113</v>
      </c>
      <c r="C14" s="12">
        <v>0.3</v>
      </c>
      <c r="D14" s="10" t="s">
        <v>114</v>
      </c>
      <c r="E14" s="10" t="s">
        <v>115</v>
      </c>
    </row>
    <row r="15" ht="17" spans="1:5">
      <c r="A15" s="10" t="s">
        <v>116</v>
      </c>
      <c r="B15" s="10" t="s">
        <v>117</v>
      </c>
      <c r="C15" s="11">
        <v>25150</v>
      </c>
      <c r="D15" s="10" t="s">
        <v>118</v>
      </c>
      <c r="E15" s="10" t="s">
        <v>119</v>
      </c>
    </row>
    <row r="16" ht="17" spans="1:5">
      <c r="A16" s="10" t="s">
        <v>116</v>
      </c>
      <c r="B16" s="10" t="s">
        <v>120</v>
      </c>
      <c r="C16" s="11">
        <v>600</v>
      </c>
      <c r="D16" s="10" t="s">
        <v>121</v>
      </c>
      <c r="E16" s="10" t="s">
        <v>95</v>
      </c>
    </row>
    <row r="17" ht="17" spans="1:5">
      <c r="A17" s="10" t="s">
        <v>116</v>
      </c>
      <c r="B17" s="10" t="s">
        <v>122</v>
      </c>
      <c r="C17" s="11">
        <v>300</v>
      </c>
      <c r="D17" s="10" t="s">
        <v>121</v>
      </c>
      <c r="E17" s="10" t="s">
        <v>95</v>
      </c>
    </row>
    <row r="18" ht="17" spans="1:5">
      <c r="A18" s="10" t="s">
        <v>123</v>
      </c>
      <c r="B18" s="10" t="s">
        <v>124</v>
      </c>
      <c r="C18" s="11">
        <v>24</v>
      </c>
      <c r="D18" s="10" t="s">
        <v>90</v>
      </c>
      <c r="E18" s="10" t="s">
        <v>125</v>
      </c>
    </row>
    <row r="19" ht="17" spans="1:5">
      <c r="A19" s="10" t="s">
        <v>126</v>
      </c>
      <c r="B19" s="10" t="s">
        <v>127</v>
      </c>
      <c r="C19" s="11">
        <v>12000</v>
      </c>
      <c r="D19" s="10" t="s">
        <v>128</v>
      </c>
      <c r="E19" s="10" t="s">
        <v>129</v>
      </c>
    </row>
    <row r="22" ht="22" customHeight="1" spans="1:6">
      <c r="A22" s="5" t="s">
        <v>130</v>
      </c>
      <c r="B22" s="5"/>
      <c r="C22" s="5"/>
      <c r="D22" s="5"/>
      <c r="E22" s="5"/>
      <c r="F22" s="5"/>
    </row>
    <row r="23" spans="1:6">
      <c r="A23" s="6" t="s">
        <v>131</v>
      </c>
      <c r="B23" s="6"/>
      <c r="C23" s="6"/>
      <c r="D23" s="6"/>
      <c r="E23" s="6"/>
      <c r="F23" s="6"/>
    </row>
    <row r="24" ht="17" spans="1:6">
      <c r="A24" s="3" t="s">
        <v>132</v>
      </c>
      <c r="B24" s="3" t="s">
        <v>133</v>
      </c>
      <c r="C24" s="3" t="s">
        <v>134</v>
      </c>
      <c r="D24" s="3" t="s">
        <v>135</v>
      </c>
      <c r="E24" s="3" t="s">
        <v>136</v>
      </c>
      <c r="F24" s="3" t="s">
        <v>137</v>
      </c>
    </row>
    <row r="25" ht="17" spans="1:6">
      <c r="A25" s="19" t="s">
        <v>138</v>
      </c>
      <c r="B25" s="21">
        <f>COUNTA('05_职业技能'!$D$5:$D$40)</f>
        <v>36</v>
      </c>
      <c r="C25" s="19">
        <v>36</v>
      </c>
      <c r="D25" s="19" t="s">
        <v>139</v>
      </c>
      <c r="E25" s="27" t="str">
        <f>IF(B25=C25,"通过","检查")</f>
        <v>通过</v>
      </c>
      <c r="F25" s="19" t="s">
        <v>140</v>
      </c>
    </row>
    <row r="26" ht="17" spans="1:6">
      <c r="A26" s="19" t="s">
        <v>141</v>
      </c>
      <c r="B26" s="21">
        <f>'02_等级成长'!$E$38</f>
        <v>22680</v>
      </c>
      <c r="C26" s="19">
        <v>22680</v>
      </c>
      <c r="D26" s="19" t="s">
        <v>139</v>
      </c>
      <c r="E26" s="27" t="str">
        <f>IF(B26=C26,"通过","检查")</f>
        <v>通过</v>
      </c>
      <c r="F26" s="19" t="s">
        <v>142</v>
      </c>
    </row>
    <row r="27" ht="17" spans="1:6">
      <c r="A27" s="19" t="s">
        <v>143</v>
      </c>
      <c r="B27" s="21">
        <f>C15-'02_等级成长'!$E$38</f>
        <v>2470</v>
      </c>
      <c r="C27" s="19">
        <v>2470</v>
      </c>
      <c r="D27" s="19" t="s">
        <v>139</v>
      </c>
      <c r="E27" s="27" t="str">
        <f>IF(B27=C27,"通过","检查")</f>
        <v>通过</v>
      </c>
      <c r="F27" s="19" t="s">
        <v>144</v>
      </c>
    </row>
    <row r="28" ht="17" spans="1:6">
      <c r="A28" s="19" t="s">
        <v>145</v>
      </c>
      <c r="B28" s="21">
        <f>MAX('10_炼器'!$B$5:$B$28)</f>
        <v>5800</v>
      </c>
      <c r="C28" s="19">
        <v>12000</v>
      </c>
      <c r="D28" s="19" t="s">
        <v>146</v>
      </c>
      <c r="E28" s="27" t="str">
        <f>IF(B28&lt;=C28,"通过","检查")</f>
        <v>通过</v>
      </c>
      <c r="F28" s="19" t="s">
        <v>147</v>
      </c>
    </row>
    <row r="29" ht="17" spans="1:6">
      <c r="A29" s="19" t="s">
        <v>148</v>
      </c>
      <c r="B29" s="21">
        <f>MAX('12_后勤'!$D$14:$D$17)</f>
        <v>350</v>
      </c>
      <c r="C29" s="19">
        <v>600</v>
      </c>
      <c r="D29" s="19" t="s">
        <v>149</v>
      </c>
      <c r="E29" s="27" t="str">
        <f>IF(B29&lt;C29,"通过","检查")</f>
        <v>通过</v>
      </c>
      <c r="F29" s="19" t="s">
        <v>150</v>
      </c>
    </row>
    <row r="30" ht="34" spans="1:6">
      <c r="A30" s="19" t="s">
        <v>151</v>
      </c>
      <c r="B30" s="26">
        <f>MAX('13_资源副本'!$I$5:$I$10)</f>
        <v>0.0428571428571445</v>
      </c>
      <c r="C30" s="19">
        <v>0.2</v>
      </c>
      <c r="D30" s="19" t="s">
        <v>146</v>
      </c>
      <c r="E30" s="27" t="str">
        <f>IF(B30&lt;=C30,"通过","检查")</f>
        <v>通过</v>
      </c>
      <c r="F30" s="19" t="s">
        <v>152</v>
      </c>
    </row>
  </sheetData>
  <mergeCells count="4">
    <mergeCell ref="A1:F1"/>
    <mergeCell ref="A2:F2"/>
    <mergeCell ref="A22:F22"/>
    <mergeCell ref="A23:F23"/>
  </mergeCells>
  <conditionalFormatting sqref="E25:E30">
    <cfRule type="expression" dxfId="0" priority="1">
      <formula>E25="检查"</formula>
    </cfRule>
    <cfRule type="expression" dxfId="1" priority="2">
      <formula>E25="通过"</formula>
    </cfRule>
  </conditionalFormatting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showGridLines="0" workbookViewId="0">
      <selection activeCell="A1" sqref="A1:K1"/>
    </sheetView>
  </sheetViews>
  <sheetFormatPr defaultColWidth="9" defaultRowHeight="16.8"/>
  <cols>
    <col min="1" max="2" width="12" customWidth="1"/>
    <col min="3" max="6" width="14" customWidth="1"/>
    <col min="7" max="7" width="44" customWidth="1"/>
    <col min="8" max="8" width="16" customWidth="1"/>
    <col min="9" max="11" width="18" customWidth="1"/>
  </cols>
  <sheetData>
    <row r="1" ht="30" customHeight="1" spans="1:11">
      <c r="A1" s="1" t="s">
        <v>153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>
      <c r="A2" s="2" t="s">
        <v>154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2" customHeight="1" spans="1:5">
      <c r="A4" s="5" t="s">
        <v>155</v>
      </c>
      <c r="B4" s="5"/>
      <c r="C4" s="5"/>
      <c r="D4" s="5"/>
      <c r="E4" s="5"/>
    </row>
    <row r="5" spans="1:5">
      <c r="A5" s="6" t="s">
        <v>156</v>
      </c>
      <c r="B5" s="6"/>
      <c r="C5" s="6"/>
      <c r="D5" s="6"/>
      <c r="E5" s="6"/>
    </row>
    <row r="6" ht="17" spans="1:3">
      <c r="A6" s="3" t="s">
        <v>157</v>
      </c>
      <c r="B6" s="3" t="s">
        <v>158</v>
      </c>
      <c r="C6" s="3" t="s">
        <v>159</v>
      </c>
    </row>
    <row r="7" spans="1:3">
      <c r="A7" t="s">
        <v>160</v>
      </c>
      <c r="B7" s="16">
        <f>D24</f>
        <v>470</v>
      </c>
      <c r="C7" s="16">
        <f>E24</f>
        <v>1880</v>
      </c>
    </row>
    <row r="8" spans="1:3">
      <c r="A8" t="s">
        <v>161</v>
      </c>
      <c r="B8" s="16">
        <f>D34</f>
        <v>3130</v>
      </c>
      <c r="C8" s="16">
        <f>E34</f>
        <v>12520</v>
      </c>
    </row>
    <row r="9" spans="1:3">
      <c r="A9" t="s">
        <v>162</v>
      </c>
      <c r="B9" s="16">
        <f>D35</f>
        <v>3650</v>
      </c>
      <c r="C9" s="16">
        <f>E35</f>
        <v>14600</v>
      </c>
    </row>
    <row r="10" spans="1:3">
      <c r="A10" t="s">
        <v>163</v>
      </c>
      <c r="B10" s="16">
        <f>D38</f>
        <v>5670</v>
      </c>
      <c r="C10" s="16">
        <f>E38</f>
        <v>22680</v>
      </c>
    </row>
    <row r="11" spans="1:3">
      <c r="A11" t="s">
        <v>164</v>
      </c>
      <c r="B11" s="16">
        <f>D44</f>
        <v>12805</v>
      </c>
      <c r="C11" s="16">
        <f>E44</f>
        <v>51220</v>
      </c>
    </row>
    <row r="13" ht="22" customHeight="1" spans="1:9">
      <c r="A13" s="5" t="s">
        <v>165</v>
      </c>
      <c r="B13" s="5"/>
      <c r="C13" s="5"/>
      <c r="D13" s="5"/>
      <c r="E13" s="5"/>
      <c r="G13" s="25" t="s">
        <v>166</v>
      </c>
      <c r="H13" s="25"/>
      <c r="I13" s="25"/>
    </row>
    <row r="14" spans="1:9">
      <c r="A14" s="6" t="s">
        <v>167</v>
      </c>
      <c r="B14" s="6"/>
      <c r="C14" s="6"/>
      <c r="D14" s="6"/>
      <c r="E14" s="6"/>
      <c r="G14" s="6" t="s">
        <v>168</v>
      </c>
      <c r="H14" s="6"/>
      <c r="I14" s="6"/>
    </row>
    <row r="15" ht="17" spans="1:9">
      <c r="A15" s="3" t="s">
        <v>169</v>
      </c>
      <c r="B15" s="3" t="s">
        <v>170</v>
      </c>
      <c r="C15" s="3" t="s">
        <v>171</v>
      </c>
      <c r="D15" s="3" t="s">
        <v>172</v>
      </c>
      <c r="E15" s="3" t="s">
        <v>173</v>
      </c>
      <c r="G15" s="3" t="s">
        <v>174</v>
      </c>
      <c r="H15" s="3" t="s">
        <v>175</v>
      </c>
      <c r="I15" s="3" t="s">
        <v>176</v>
      </c>
    </row>
    <row r="16" ht="17" spans="1:9">
      <c r="A16" s="4">
        <v>1</v>
      </c>
      <c r="B16" s="4">
        <v>2</v>
      </c>
      <c r="C16" s="4">
        <v>20</v>
      </c>
      <c r="D16" s="16">
        <f>SUM($C$16:C16)</f>
        <v>20</v>
      </c>
      <c r="E16" s="16">
        <f>D16*'01_关键参数'!$C$6</f>
        <v>80</v>
      </c>
      <c r="G16" s="18" t="s">
        <v>177</v>
      </c>
      <c r="H16" s="18" t="s">
        <v>178</v>
      </c>
      <c r="I16" s="18" t="s">
        <v>179</v>
      </c>
    </row>
    <row r="17" ht="51" spans="1:9">
      <c r="A17" s="4">
        <v>2</v>
      </c>
      <c r="B17" s="4">
        <v>3</v>
      </c>
      <c r="C17" s="4">
        <v>25</v>
      </c>
      <c r="D17" s="16">
        <f>SUM($C$16:C17)</f>
        <v>45</v>
      </c>
      <c r="E17" s="16">
        <f>D17*'01_关键参数'!$C$6</f>
        <v>180</v>
      </c>
      <c r="G17" s="18" t="s">
        <v>180</v>
      </c>
      <c r="H17" s="18" t="s">
        <v>181</v>
      </c>
      <c r="I17" s="18" t="s">
        <v>182</v>
      </c>
    </row>
    <row r="18" ht="68" spans="1:9">
      <c r="A18" s="4">
        <v>3</v>
      </c>
      <c r="B18" s="4">
        <v>4</v>
      </c>
      <c r="C18" s="4">
        <v>30</v>
      </c>
      <c r="D18" s="16">
        <f>SUM($C$16:C18)</f>
        <v>75</v>
      </c>
      <c r="E18" s="16">
        <f>D18*'01_关键参数'!$C$6</f>
        <v>300</v>
      </c>
      <c r="G18" s="18" t="s">
        <v>183</v>
      </c>
      <c r="H18" s="18" t="s">
        <v>184</v>
      </c>
      <c r="I18" s="18" t="s">
        <v>185</v>
      </c>
    </row>
    <row r="19" spans="1:5">
      <c r="A19" s="4">
        <v>4</v>
      </c>
      <c r="B19" s="4">
        <v>5</v>
      </c>
      <c r="C19" s="4">
        <v>35</v>
      </c>
      <c r="D19" s="16">
        <f>SUM($C$16:C19)</f>
        <v>110</v>
      </c>
      <c r="E19" s="16">
        <f>D19*'01_关键参数'!$C$6</f>
        <v>440</v>
      </c>
    </row>
    <row r="20" spans="1:5">
      <c r="A20" s="4">
        <v>5</v>
      </c>
      <c r="B20" s="4">
        <v>6</v>
      </c>
      <c r="C20" s="4">
        <v>45</v>
      </c>
      <c r="D20" s="16">
        <f>SUM($C$16:C20)</f>
        <v>155</v>
      </c>
      <c r="E20" s="16">
        <f>D20*'01_关键参数'!$C$6</f>
        <v>620</v>
      </c>
    </row>
    <row r="21" spans="1:5">
      <c r="A21" s="4">
        <v>6</v>
      </c>
      <c r="B21" s="4">
        <v>7</v>
      </c>
      <c r="C21" s="4">
        <v>55</v>
      </c>
      <c r="D21" s="16">
        <f>SUM($C$16:C21)</f>
        <v>210</v>
      </c>
      <c r="E21" s="16">
        <f>D21*'01_关键参数'!$C$6</f>
        <v>840</v>
      </c>
    </row>
    <row r="22" spans="1:5">
      <c r="A22" s="4">
        <v>7</v>
      </c>
      <c r="B22" s="4">
        <v>8</v>
      </c>
      <c r="C22" s="4">
        <v>70</v>
      </c>
      <c r="D22" s="16">
        <f>SUM($C$16:C22)</f>
        <v>280</v>
      </c>
      <c r="E22" s="16">
        <f>D22*'01_关键参数'!$C$6</f>
        <v>1120</v>
      </c>
    </row>
    <row r="23" spans="1:5">
      <c r="A23" s="4">
        <v>8</v>
      </c>
      <c r="B23" s="4">
        <v>9</v>
      </c>
      <c r="C23" s="4">
        <v>85</v>
      </c>
      <c r="D23" s="16">
        <f>SUM($C$16:C23)</f>
        <v>365</v>
      </c>
      <c r="E23" s="16">
        <f>D23*'01_关键参数'!$C$6</f>
        <v>1460</v>
      </c>
    </row>
    <row r="24" spans="1:5">
      <c r="A24" s="4">
        <v>9</v>
      </c>
      <c r="B24" s="4">
        <v>10</v>
      </c>
      <c r="C24" s="4">
        <v>105</v>
      </c>
      <c r="D24" s="16">
        <f>SUM($C$16:C24)</f>
        <v>470</v>
      </c>
      <c r="E24" s="16">
        <f>D24*'01_关键参数'!$C$6</f>
        <v>1880</v>
      </c>
    </row>
    <row r="25" spans="1:5">
      <c r="A25" s="4">
        <v>10</v>
      </c>
      <c r="B25" s="4">
        <v>11</v>
      </c>
      <c r="C25" s="4">
        <v>130</v>
      </c>
      <c r="D25" s="16">
        <f>SUM($C$16:C25)</f>
        <v>600</v>
      </c>
      <c r="E25" s="16">
        <f>D25*'01_关键参数'!$C$6</f>
        <v>2400</v>
      </c>
    </row>
    <row r="26" spans="1:5">
      <c r="A26" s="4">
        <v>11</v>
      </c>
      <c r="B26" s="4">
        <v>12</v>
      </c>
      <c r="C26" s="4">
        <v>150</v>
      </c>
      <c r="D26" s="16">
        <f>SUM($C$16:C26)</f>
        <v>750</v>
      </c>
      <c r="E26" s="16">
        <f>D26*'01_关键参数'!$C$6</f>
        <v>3000</v>
      </c>
    </row>
    <row r="27" spans="1:5">
      <c r="A27" s="4">
        <v>12</v>
      </c>
      <c r="B27" s="4">
        <v>13</v>
      </c>
      <c r="C27" s="4">
        <v>175</v>
      </c>
      <c r="D27" s="16">
        <f>SUM($C$16:C27)</f>
        <v>925</v>
      </c>
      <c r="E27" s="16">
        <f>D27*'01_关键参数'!$C$6</f>
        <v>3700</v>
      </c>
    </row>
    <row r="28" spans="1:5">
      <c r="A28" s="4">
        <v>13</v>
      </c>
      <c r="B28" s="4">
        <v>14</v>
      </c>
      <c r="C28" s="4">
        <v>200</v>
      </c>
      <c r="D28" s="16">
        <f>SUM($C$16:C28)</f>
        <v>1125</v>
      </c>
      <c r="E28" s="16">
        <f>D28*'01_关键参数'!$C$6</f>
        <v>4500</v>
      </c>
    </row>
    <row r="29" spans="1:5">
      <c r="A29" s="4">
        <v>14</v>
      </c>
      <c r="B29" s="4">
        <v>15</v>
      </c>
      <c r="C29" s="4">
        <v>230</v>
      </c>
      <c r="D29" s="16">
        <f>SUM($C$16:C29)</f>
        <v>1355</v>
      </c>
      <c r="E29" s="16">
        <f>D29*'01_关键参数'!$C$6</f>
        <v>5420</v>
      </c>
    </row>
    <row r="30" spans="1:5">
      <c r="A30" s="4">
        <v>15</v>
      </c>
      <c r="B30" s="4">
        <v>16</v>
      </c>
      <c r="C30" s="4">
        <v>265</v>
      </c>
      <c r="D30" s="16">
        <f>SUM($C$16:C30)</f>
        <v>1620</v>
      </c>
      <c r="E30" s="16">
        <f>D30*'01_关键参数'!$C$6</f>
        <v>6480</v>
      </c>
    </row>
    <row r="31" spans="1:5">
      <c r="A31" s="4">
        <v>16</v>
      </c>
      <c r="B31" s="4">
        <v>17</v>
      </c>
      <c r="C31" s="4">
        <v>305</v>
      </c>
      <c r="D31" s="16">
        <f>SUM($C$16:C31)</f>
        <v>1925</v>
      </c>
      <c r="E31" s="16">
        <f>D31*'01_关键参数'!$C$6</f>
        <v>7700</v>
      </c>
    </row>
    <row r="32" spans="1:5">
      <c r="A32" s="4">
        <v>17</v>
      </c>
      <c r="B32" s="4">
        <v>18</v>
      </c>
      <c r="C32" s="4">
        <v>350</v>
      </c>
      <c r="D32" s="16">
        <f>SUM($C$16:C32)</f>
        <v>2275</v>
      </c>
      <c r="E32" s="16">
        <f>D32*'01_关键参数'!$C$6</f>
        <v>9100</v>
      </c>
    </row>
    <row r="33" spans="1:5">
      <c r="A33" s="4">
        <v>18</v>
      </c>
      <c r="B33" s="4">
        <v>19</v>
      </c>
      <c r="C33" s="4">
        <v>400</v>
      </c>
      <c r="D33" s="16">
        <f>SUM($C$16:C33)</f>
        <v>2675</v>
      </c>
      <c r="E33" s="16">
        <f>D33*'01_关键参数'!$C$6</f>
        <v>10700</v>
      </c>
    </row>
    <row r="34" spans="1:5">
      <c r="A34" s="4">
        <v>19</v>
      </c>
      <c r="B34" s="4">
        <v>20</v>
      </c>
      <c r="C34" s="4">
        <v>455</v>
      </c>
      <c r="D34" s="16">
        <f>SUM($C$16:C34)</f>
        <v>3130</v>
      </c>
      <c r="E34" s="16">
        <f>D34*'01_关键参数'!$C$6</f>
        <v>12520</v>
      </c>
    </row>
    <row r="35" spans="1:5">
      <c r="A35" s="4">
        <v>20</v>
      </c>
      <c r="B35" s="4">
        <v>21</v>
      </c>
      <c r="C35" s="4">
        <v>520</v>
      </c>
      <c r="D35" s="16">
        <f>SUM($C$16:C35)</f>
        <v>3650</v>
      </c>
      <c r="E35" s="16">
        <f>D35*'01_关键参数'!$C$6</f>
        <v>14600</v>
      </c>
    </row>
    <row r="36" spans="1:5">
      <c r="A36" s="4">
        <v>21</v>
      </c>
      <c r="B36" s="4">
        <v>22</v>
      </c>
      <c r="C36" s="4">
        <v>590</v>
      </c>
      <c r="D36" s="16">
        <f>SUM($C$16:C36)</f>
        <v>4240</v>
      </c>
      <c r="E36" s="16">
        <f>D36*'01_关键参数'!$C$6</f>
        <v>16960</v>
      </c>
    </row>
    <row r="37" spans="1:5">
      <c r="A37" s="4">
        <v>22</v>
      </c>
      <c r="B37" s="4">
        <v>23</v>
      </c>
      <c r="C37" s="4">
        <v>670</v>
      </c>
      <c r="D37" s="16">
        <f>SUM($C$16:C37)</f>
        <v>4910</v>
      </c>
      <c r="E37" s="16">
        <f>D37*'01_关键参数'!$C$6</f>
        <v>19640</v>
      </c>
    </row>
    <row r="38" spans="1:5">
      <c r="A38" s="4">
        <v>23</v>
      </c>
      <c r="B38" s="4">
        <v>24</v>
      </c>
      <c r="C38" s="4">
        <v>760</v>
      </c>
      <c r="D38" s="16">
        <f>SUM($C$16:C38)</f>
        <v>5670</v>
      </c>
      <c r="E38" s="16">
        <f>D38*'01_关键参数'!$C$6</f>
        <v>22680</v>
      </c>
    </row>
    <row r="39" spans="1:5">
      <c r="A39" s="4">
        <v>24</v>
      </c>
      <c r="B39" s="4">
        <v>25</v>
      </c>
      <c r="C39" s="4">
        <v>860</v>
      </c>
      <c r="D39" s="16">
        <f>SUM($C$16:C39)</f>
        <v>6530</v>
      </c>
      <c r="E39" s="16">
        <f>D39*'01_关键参数'!$C$6</f>
        <v>26120</v>
      </c>
    </row>
    <row r="40" spans="1:5">
      <c r="A40" s="4">
        <v>25</v>
      </c>
      <c r="B40" s="4">
        <v>26</v>
      </c>
      <c r="C40" s="4">
        <v>975</v>
      </c>
      <c r="D40" s="16">
        <f>SUM($C$16:C40)</f>
        <v>7505</v>
      </c>
      <c r="E40" s="16">
        <f>D40*'01_关键参数'!$C$6</f>
        <v>30020</v>
      </c>
    </row>
    <row r="41" spans="1:5">
      <c r="A41" s="4">
        <v>26</v>
      </c>
      <c r="B41" s="4">
        <v>27</v>
      </c>
      <c r="C41" s="4">
        <v>1100</v>
      </c>
      <c r="D41" s="16">
        <f>SUM($C$16:C41)</f>
        <v>8605</v>
      </c>
      <c r="E41" s="16">
        <f>D41*'01_关键参数'!$C$6</f>
        <v>34420</v>
      </c>
    </row>
    <row r="42" spans="1:5">
      <c r="A42" s="4">
        <v>27</v>
      </c>
      <c r="B42" s="4">
        <v>28</v>
      </c>
      <c r="C42" s="4">
        <v>1240</v>
      </c>
      <c r="D42" s="16">
        <f>SUM($C$16:C42)</f>
        <v>9845</v>
      </c>
      <c r="E42" s="16">
        <f>D42*'01_关键参数'!$C$6</f>
        <v>39380</v>
      </c>
    </row>
    <row r="43" spans="1:5">
      <c r="A43" s="4">
        <v>28</v>
      </c>
      <c r="B43" s="4">
        <v>29</v>
      </c>
      <c r="C43" s="4">
        <v>1395</v>
      </c>
      <c r="D43" s="16">
        <f>SUM($C$16:C43)</f>
        <v>11240</v>
      </c>
      <c r="E43" s="16">
        <f>D43*'01_关键参数'!$C$6</f>
        <v>44960</v>
      </c>
    </row>
    <row r="44" spans="1:5">
      <c r="A44" s="4">
        <v>29</v>
      </c>
      <c r="B44" s="4">
        <v>30</v>
      </c>
      <c r="C44" s="4">
        <v>1565</v>
      </c>
      <c r="D44" s="16">
        <f>SUM($C$16:C44)</f>
        <v>12805</v>
      </c>
      <c r="E44" s="16">
        <f>D44*'01_关键参数'!$C$6</f>
        <v>51220</v>
      </c>
    </row>
    <row r="47" ht="22" customHeight="1" spans="1:7">
      <c r="A47" s="5" t="s">
        <v>186</v>
      </c>
      <c r="B47" s="5"/>
      <c r="C47" s="5"/>
      <c r="D47" s="5"/>
      <c r="E47" s="5"/>
      <c r="F47" s="5"/>
      <c r="G47" s="5"/>
    </row>
    <row r="48" spans="1:7">
      <c r="A48" s="6" t="s">
        <v>187</v>
      </c>
      <c r="B48" s="6"/>
      <c r="C48" s="6"/>
      <c r="D48" s="6"/>
      <c r="E48" s="6"/>
      <c r="F48" s="6"/>
      <c r="G48" s="6"/>
    </row>
    <row r="49" ht="17" spans="1:7">
      <c r="A49" s="3" t="s">
        <v>188</v>
      </c>
      <c r="B49" s="3" t="s">
        <v>189</v>
      </c>
      <c r="C49" s="3" t="s">
        <v>121</v>
      </c>
      <c r="D49" s="3" t="s">
        <v>190</v>
      </c>
      <c r="E49" s="3" t="s">
        <v>191</v>
      </c>
      <c r="F49" s="3" t="s">
        <v>192</v>
      </c>
      <c r="G49" s="3" t="s">
        <v>193</v>
      </c>
    </row>
    <row r="50" ht="17" spans="1:7">
      <c r="A50" s="7" t="s">
        <v>180</v>
      </c>
      <c r="B50" s="9">
        <v>10</v>
      </c>
      <c r="C50" s="9">
        <v>300</v>
      </c>
      <c r="D50" s="9">
        <v>0</v>
      </c>
      <c r="E50" s="9">
        <v>0</v>
      </c>
      <c r="F50" s="9">
        <v>130</v>
      </c>
      <c r="G50" s="7" t="s">
        <v>194</v>
      </c>
    </row>
    <row r="51" ht="17" spans="1:7">
      <c r="A51" s="10" t="s">
        <v>183</v>
      </c>
      <c r="B51" s="11">
        <v>20</v>
      </c>
      <c r="C51" s="11">
        <v>1200</v>
      </c>
      <c r="D51" s="11">
        <v>1</v>
      </c>
      <c r="E51" s="11">
        <v>15</v>
      </c>
      <c r="F51" s="11">
        <v>520</v>
      </c>
      <c r="G51" s="10" t="s">
        <v>195</v>
      </c>
    </row>
    <row r="52" ht="17" spans="1:7">
      <c r="A52" s="10" t="s">
        <v>196</v>
      </c>
      <c r="B52" s="11">
        <v>20</v>
      </c>
      <c r="C52" s="11">
        <v>900</v>
      </c>
      <c r="D52" s="11">
        <v>1</v>
      </c>
      <c r="E52" s="11">
        <v>15</v>
      </c>
      <c r="F52" s="11">
        <v>520</v>
      </c>
      <c r="G52" s="10" t="s">
        <v>197</v>
      </c>
    </row>
    <row r="53" ht="17" spans="1:7">
      <c r="A53" s="10" t="s">
        <v>198</v>
      </c>
      <c r="B53" s="11">
        <v>11</v>
      </c>
      <c r="C53" s="11">
        <v>3000</v>
      </c>
      <c r="D53" s="11">
        <v>0</v>
      </c>
      <c r="E53" s="11">
        <v>0</v>
      </c>
      <c r="F53" s="11">
        <v>0</v>
      </c>
      <c r="G53" s="10" t="s">
        <v>199</v>
      </c>
    </row>
    <row r="54" ht="17" spans="1:7">
      <c r="A54" s="10" t="s">
        <v>200</v>
      </c>
      <c r="B54" s="11">
        <v>21</v>
      </c>
      <c r="C54" s="11">
        <v>9000</v>
      </c>
      <c r="D54" s="11">
        <v>0</v>
      </c>
      <c r="E54" s="11">
        <v>0</v>
      </c>
      <c r="F54" s="11">
        <v>0</v>
      </c>
      <c r="G54" s="10" t="s">
        <v>201</v>
      </c>
    </row>
  </sheetData>
  <mergeCells count="10">
    <mergeCell ref="A1:K1"/>
    <mergeCell ref="A2:K2"/>
    <mergeCell ref="A4:E4"/>
    <mergeCell ref="A5:E5"/>
    <mergeCell ref="A13:E13"/>
    <mergeCell ref="G13:I13"/>
    <mergeCell ref="A14:E14"/>
    <mergeCell ref="G14:I14"/>
    <mergeCell ref="A47:G47"/>
    <mergeCell ref="A48:G48"/>
  </mergeCells>
  <pageMargins left="0.7" right="0.7" top="0.75" bottom="0.75" header="0.3" footer="0.3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8"/>
  <sheetViews>
    <sheetView showGridLines="0" workbookViewId="0">
      <selection activeCell="A1" sqref="A1:J1"/>
    </sheetView>
  </sheetViews>
  <sheetFormatPr defaultColWidth="9" defaultRowHeight="16.8"/>
  <cols>
    <col min="1" max="1" width="30" customWidth="1"/>
    <col min="2" max="3" width="18" customWidth="1"/>
    <col min="4" max="8" width="14" customWidth="1"/>
    <col min="9" max="9" width="28" customWidth="1"/>
    <col min="10" max="10" width="30" customWidth="1"/>
  </cols>
  <sheetData>
    <row r="1" ht="30" customHeight="1" spans="1:10">
      <c r="A1" s="1" t="s">
        <v>202</v>
      </c>
      <c r="B1" s="1"/>
      <c r="C1" s="1"/>
      <c r="D1" s="1"/>
      <c r="E1" s="1"/>
      <c r="F1" s="1"/>
      <c r="G1" s="1"/>
      <c r="H1" s="1"/>
      <c r="I1" s="1"/>
      <c r="J1" s="1"/>
    </row>
    <row r="2" ht="30" customHeight="1" spans="1:10">
      <c r="A2" s="2" t="s">
        <v>203</v>
      </c>
      <c r="B2" s="2"/>
      <c r="C2" s="2"/>
      <c r="D2" s="2"/>
      <c r="E2" s="2"/>
      <c r="F2" s="2"/>
      <c r="G2" s="2"/>
      <c r="H2" s="2"/>
      <c r="I2" s="2"/>
      <c r="J2" s="2"/>
    </row>
    <row r="4" ht="22" customHeight="1" spans="1:4">
      <c r="A4" s="5" t="s">
        <v>204</v>
      </c>
      <c r="B4" s="5"/>
      <c r="C4" s="5"/>
      <c r="D4" s="5"/>
    </row>
    <row r="5" spans="1:4">
      <c r="A5" s="6" t="s">
        <v>205</v>
      </c>
      <c r="B5" s="6"/>
      <c r="C5" s="6"/>
      <c r="D5" s="6"/>
    </row>
    <row r="6" ht="34" spans="1:4">
      <c r="A6" s="3" t="s">
        <v>206</v>
      </c>
      <c r="B6" s="3" t="s">
        <v>207</v>
      </c>
      <c r="C6" s="3" t="s">
        <v>208</v>
      </c>
      <c r="D6" s="3" t="s">
        <v>209</v>
      </c>
    </row>
    <row r="7" ht="17" spans="1:4">
      <c r="A7" s="7" t="s">
        <v>210</v>
      </c>
      <c r="B7" s="7" t="s">
        <v>211</v>
      </c>
      <c r="C7" s="8">
        <v>1</v>
      </c>
      <c r="D7" s="8">
        <v>1</v>
      </c>
    </row>
    <row r="8" ht="17" spans="1:4">
      <c r="A8" s="10" t="s">
        <v>212</v>
      </c>
      <c r="B8" s="10" t="s">
        <v>213</v>
      </c>
      <c r="C8" s="12">
        <v>1.08</v>
      </c>
      <c r="D8" s="12">
        <v>1.1</v>
      </c>
    </row>
    <row r="9" ht="17" spans="1:4">
      <c r="A9" s="10" t="s">
        <v>214</v>
      </c>
      <c r="B9" s="10" t="s">
        <v>215</v>
      </c>
      <c r="C9" s="12">
        <v>1.16</v>
      </c>
      <c r="D9" s="12">
        <v>1.22</v>
      </c>
    </row>
    <row r="10" ht="17" spans="1:4">
      <c r="A10" s="10" t="s">
        <v>216</v>
      </c>
      <c r="B10" s="10" t="s">
        <v>217</v>
      </c>
      <c r="C10" s="12">
        <v>1.24</v>
      </c>
      <c r="D10" s="12">
        <v>1.36</v>
      </c>
    </row>
    <row r="11" ht="17" spans="1:4">
      <c r="A11" s="10" t="s">
        <v>218</v>
      </c>
      <c r="B11" s="10" t="s">
        <v>219</v>
      </c>
      <c r="C11" s="12">
        <v>1.33</v>
      </c>
      <c r="D11" s="12">
        <v>1.52</v>
      </c>
    </row>
    <row r="12" ht="17" spans="1:4">
      <c r="A12" s="10" t="s">
        <v>220</v>
      </c>
      <c r="B12" s="10" t="s">
        <v>221</v>
      </c>
      <c r="C12" s="12">
        <v>1.52</v>
      </c>
      <c r="D12" s="12">
        <v>1.9</v>
      </c>
    </row>
    <row r="15" ht="22" customHeight="1" spans="1:3">
      <c r="A15" s="5" t="s">
        <v>204</v>
      </c>
      <c r="B15" s="5"/>
      <c r="C15" s="5"/>
    </row>
    <row r="16" spans="1:3">
      <c r="A16" s="6" t="s">
        <v>222</v>
      </c>
      <c r="B16" s="6"/>
      <c r="C16" s="6"/>
    </row>
    <row r="17" ht="17" spans="1:3">
      <c r="A17" s="3" t="s">
        <v>223</v>
      </c>
      <c r="B17" s="3" t="s">
        <v>224</v>
      </c>
      <c r="C17" s="3" t="s">
        <v>206</v>
      </c>
    </row>
    <row r="18" ht="17" spans="1:3">
      <c r="A18" s="7" t="s">
        <v>225</v>
      </c>
      <c r="B18" s="7" t="s">
        <v>226</v>
      </c>
      <c r="C18" s="7" t="s">
        <v>227</v>
      </c>
    </row>
    <row r="19" ht="17" spans="1:3">
      <c r="A19" s="10" t="s">
        <v>228</v>
      </c>
      <c r="B19" s="10" t="s">
        <v>229</v>
      </c>
      <c r="C19" s="10" t="s">
        <v>227</v>
      </c>
    </row>
    <row r="20" ht="17" spans="1:3">
      <c r="A20" s="10" t="s">
        <v>230</v>
      </c>
      <c r="B20" s="10" t="s">
        <v>231</v>
      </c>
      <c r="C20" s="10" t="s">
        <v>227</v>
      </c>
    </row>
    <row r="21" ht="17" spans="1:3">
      <c r="A21" s="10" t="s">
        <v>232</v>
      </c>
      <c r="B21" s="10" t="s">
        <v>233</v>
      </c>
      <c r="C21" s="10" t="s">
        <v>234</v>
      </c>
    </row>
    <row r="24" ht="22" customHeight="1" spans="1:8">
      <c r="A24" s="5" t="s">
        <v>235</v>
      </c>
      <c r="B24" s="5"/>
      <c r="C24" s="5"/>
      <c r="D24" s="5"/>
      <c r="E24" s="5"/>
      <c r="F24" s="5"/>
      <c r="G24" s="5"/>
      <c r="H24" s="5"/>
    </row>
    <row r="25" spans="1:8">
      <c r="A25" s="6" t="s">
        <v>236</v>
      </c>
      <c r="B25" s="6"/>
      <c r="C25" s="6"/>
      <c r="D25" s="6"/>
      <c r="E25" s="6"/>
      <c r="F25" s="6"/>
      <c r="G25" s="6"/>
      <c r="H25" s="6"/>
    </row>
    <row r="26" ht="17" spans="1:8">
      <c r="A26" s="3" t="s">
        <v>237</v>
      </c>
      <c r="B26" s="3" t="s">
        <v>238</v>
      </c>
      <c r="C26" s="3" t="s">
        <v>239</v>
      </c>
      <c r="D26" s="3" t="s">
        <v>240</v>
      </c>
      <c r="E26" s="3" t="s">
        <v>241</v>
      </c>
      <c r="F26" s="3" t="s">
        <v>242</v>
      </c>
      <c r="G26" s="3" t="s">
        <v>243</v>
      </c>
      <c r="H26" s="3" t="s">
        <v>244</v>
      </c>
    </row>
    <row r="27" ht="17" spans="1:8">
      <c r="A27" s="7" t="s">
        <v>226</v>
      </c>
      <c r="B27" s="9">
        <v>2200</v>
      </c>
      <c r="C27" s="9">
        <v>200</v>
      </c>
      <c r="D27" s="9">
        <v>500</v>
      </c>
      <c r="E27" s="9">
        <v>400</v>
      </c>
      <c r="F27" s="9">
        <v>2600</v>
      </c>
      <c r="G27" s="9">
        <v>1800</v>
      </c>
      <c r="H27" s="9">
        <v>700</v>
      </c>
    </row>
    <row r="28" ht="17" spans="1:8">
      <c r="A28" s="10" t="s">
        <v>229</v>
      </c>
      <c r="B28" s="11">
        <v>200</v>
      </c>
      <c r="C28" s="11">
        <v>3000</v>
      </c>
      <c r="D28" s="11">
        <v>2000</v>
      </c>
      <c r="E28" s="11">
        <v>400</v>
      </c>
      <c r="F28" s="11">
        <v>800</v>
      </c>
      <c r="G28" s="11">
        <v>600</v>
      </c>
      <c r="H28" s="11">
        <v>1200</v>
      </c>
    </row>
    <row r="29" ht="17" spans="1:8">
      <c r="A29" s="10" t="s">
        <v>231</v>
      </c>
      <c r="B29" s="11">
        <v>200</v>
      </c>
      <c r="C29" s="11">
        <v>2800</v>
      </c>
      <c r="D29" s="11">
        <v>1600</v>
      </c>
      <c r="E29" s="11">
        <v>500</v>
      </c>
      <c r="F29" s="11">
        <v>900</v>
      </c>
      <c r="G29" s="11">
        <v>600</v>
      </c>
      <c r="H29" s="11">
        <v>1800</v>
      </c>
    </row>
    <row r="30" ht="17" spans="1:8">
      <c r="A30" s="10" t="s">
        <v>233</v>
      </c>
      <c r="B30" s="11">
        <v>1800</v>
      </c>
      <c r="C30" s="11">
        <v>200</v>
      </c>
      <c r="D30" s="11">
        <v>2200</v>
      </c>
      <c r="E30" s="11">
        <v>1600</v>
      </c>
      <c r="F30" s="11">
        <v>1000</v>
      </c>
      <c r="G30" s="11">
        <v>800</v>
      </c>
      <c r="H30" s="11">
        <v>600</v>
      </c>
    </row>
    <row r="33" ht="22" customHeight="1" spans="1:9">
      <c r="A33" s="5" t="s">
        <v>245</v>
      </c>
      <c r="B33" s="5"/>
      <c r="C33" s="5"/>
      <c r="D33" s="5"/>
      <c r="E33" s="5"/>
      <c r="F33" s="5"/>
      <c r="G33" s="5"/>
      <c r="H33" s="5"/>
      <c r="I33" s="5"/>
    </row>
    <row r="34" spans="1:9">
      <c r="A34" s="6" t="s">
        <v>246</v>
      </c>
      <c r="B34" s="6"/>
      <c r="C34" s="6"/>
      <c r="D34" s="6"/>
      <c r="E34" s="6"/>
      <c r="F34" s="6"/>
      <c r="G34" s="6"/>
      <c r="H34" s="6"/>
      <c r="I34" s="6"/>
    </row>
    <row r="35" ht="17" spans="1:9">
      <c r="A35" s="3" t="s">
        <v>247</v>
      </c>
      <c r="B35" s="3" t="s">
        <v>238</v>
      </c>
      <c r="C35" s="3" t="s">
        <v>239</v>
      </c>
      <c r="D35" s="3" t="s">
        <v>240</v>
      </c>
      <c r="E35" s="3" t="s">
        <v>241</v>
      </c>
      <c r="F35" s="3" t="s">
        <v>242</v>
      </c>
      <c r="G35" s="3" t="s">
        <v>243</v>
      </c>
      <c r="H35" s="3" t="s">
        <v>244</v>
      </c>
      <c r="I35" s="3" t="s">
        <v>248</v>
      </c>
    </row>
    <row r="36" ht="17" spans="1:9">
      <c r="A36" s="7" t="s">
        <v>249</v>
      </c>
      <c r="B36" s="9">
        <v>1700</v>
      </c>
      <c r="C36" s="9">
        <v>200</v>
      </c>
      <c r="D36" s="9">
        <v>500</v>
      </c>
      <c r="E36" s="9">
        <v>300</v>
      </c>
      <c r="F36" s="9">
        <v>3000</v>
      </c>
      <c r="G36" s="9">
        <v>3000</v>
      </c>
      <c r="H36" s="9">
        <v>1300</v>
      </c>
      <c r="I36" s="7" t="s">
        <v>250</v>
      </c>
    </row>
    <row r="37" ht="17" spans="1:9">
      <c r="A37" s="10" t="s">
        <v>251</v>
      </c>
      <c r="B37" s="11">
        <v>3300</v>
      </c>
      <c r="C37" s="11">
        <v>200</v>
      </c>
      <c r="D37" s="11">
        <v>700</v>
      </c>
      <c r="E37" s="11">
        <v>900</v>
      </c>
      <c r="F37" s="11">
        <v>2500</v>
      </c>
      <c r="G37" s="11">
        <v>1400</v>
      </c>
      <c r="H37" s="11">
        <v>1000</v>
      </c>
      <c r="I37" s="10" t="s">
        <v>252</v>
      </c>
    </row>
    <row r="38" ht="17" spans="1:9">
      <c r="A38" s="10" t="s">
        <v>253</v>
      </c>
      <c r="B38" s="11">
        <v>200</v>
      </c>
      <c r="C38" s="11">
        <v>3300</v>
      </c>
      <c r="D38" s="11">
        <v>2200</v>
      </c>
      <c r="E38" s="11">
        <v>700</v>
      </c>
      <c r="F38" s="11">
        <v>700</v>
      </c>
      <c r="G38" s="11">
        <v>500</v>
      </c>
      <c r="H38" s="11">
        <v>1400</v>
      </c>
      <c r="I38" s="10" t="s">
        <v>254</v>
      </c>
    </row>
    <row r="39" ht="17" spans="1:9">
      <c r="A39" s="10" t="s">
        <v>255</v>
      </c>
      <c r="B39" s="11">
        <v>200</v>
      </c>
      <c r="C39" s="11">
        <v>3000</v>
      </c>
      <c r="D39" s="11">
        <v>2600</v>
      </c>
      <c r="E39" s="11">
        <v>900</v>
      </c>
      <c r="F39" s="11">
        <v>700</v>
      </c>
      <c r="G39" s="11">
        <v>500</v>
      </c>
      <c r="H39" s="11">
        <v>1100</v>
      </c>
      <c r="I39" s="10" t="s">
        <v>256</v>
      </c>
    </row>
    <row r="40" ht="17" spans="1:9">
      <c r="A40" s="10" t="s">
        <v>257</v>
      </c>
      <c r="B40" s="11">
        <v>200</v>
      </c>
      <c r="C40" s="11">
        <v>2700</v>
      </c>
      <c r="D40" s="11">
        <v>1700</v>
      </c>
      <c r="E40" s="11">
        <v>600</v>
      </c>
      <c r="F40" s="11">
        <v>900</v>
      </c>
      <c r="G40" s="11">
        <v>600</v>
      </c>
      <c r="H40" s="11">
        <v>2200</v>
      </c>
      <c r="I40" s="10" t="s">
        <v>258</v>
      </c>
    </row>
    <row r="41" ht="17" spans="1:9">
      <c r="A41" s="10" t="s">
        <v>259</v>
      </c>
      <c r="B41" s="11">
        <v>200</v>
      </c>
      <c r="C41" s="11">
        <v>2500</v>
      </c>
      <c r="D41" s="11">
        <v>2200</v>
      </c>
      <c r="E41" s="11">
        <v>700</v>
      </c>
      <c r="F41" s="11">
        <v>1100</v>
      </c>
      <c r="G41" s="11">
        <v>900</v>
      </c>
      <c r="H41" s="11">
        <v>1500</v>
      </c>
      <c r="I41" s="10" t="s">
        <v>260</v>
      </c>
    </row>
    <row r="42" ht="17" spans="1:9">
      <c r="A42" s="10" t="s">
        <v>261</v>
      </c>
      <c r="B42" s="11">
        <v>1700</v>
      </c>
      <c r="C42" s="11">
        <v>200</v>
      </c>
      <c r="D42" s="11">
        <v>3200</v>
      </c>
      <c r="E42" s="11">
        <v>2300</v>
      </c>
      <c r="F42" s="11">
        <v>700</v>
      </c>
      <c r="G42" s="11">
        <v>500</v>
      </c>
      <c r="H42" s="11">
        <v>400</v>
      </c>
      <c r="I42" s="10" t="s">
        <v>262</v>
      </c>
    </row>
    <row r="43" ht="17" spans="1:9">
      <c r="A43" s="10" t="s">
        <v>263</v>
      </c>
      <c r="B43" s="11">
        <v>3400</v>
      </c>
      <c r="C43" s="11">
        <v>200</v>
      </c>
      <c r="D43" s="11">
        <v>900</v>
      </c>
      <c r="E43" s="11">
        <v>500</v>
      </c>
      <c r="F43" s="11">
        <v>2000</v>
      </c>
      <c r="G43" s="11">
        <v>1600</v>
      </c>
      <c r="H43" s="11">
        <v>600</v>
      </c>
      <c r="I43" s="10" t="s">
        <v>264</v>
      </c>
    </row>
    <row r="46" ht="22" customHeight="1" spans="1:9">
      <c r="A46" s="5" t="s">
        <v>265</v>
      </c>
      <c r="B46" s="5"/>
      <c r="C46" s="5"/>
      <c r="D46" s="5"/>
      <c r="E46" s="5"/>
      <c r="F46" s="5"/>
      <c r="G46" s="5"/>
      <c r="H46" s="5"/>
      <c r="I46" s="5"/>
    </row>
    <row r="47" spans="1:9">
      <c r="A47" s="6" t="s">
        <v>266</v>
      </c>
      <c r="B47" s="6"/>
      <c r="C47" s="6"/>
      <c r="D47" s="6"/>
      <c r="E47" s="6"/>
      <c r="F47" s="6"/>
      <c r="G47" s="6"/>
      <c r="H47" s="6"/>
      <c r="I47" s="6"/>
    </row>
    <row r="48" ht="17" spans="1:9">
      <c r="A48" s="3" t="s">
        <v>267</v>
      </c>
      <c r="B48" s="3" t="s">
        <v>268</v>
      </c>
      <c r="C48" s="3" t="s">
        <v>269</v>
      </c>
      <c r="D48" s="3" t="s">
        <v>270</v>
      </c>
      <c r="E48" s="3" t="s">
        <v>271</v>
      </c>
      <c r="F48" s="3" t="s">
        <v>272</v>
      </c>
      <c r="G48" s="3" t="s">
        <v>273</v>
      </c>
      <c r="H48" s="3" t="s">
        <v>274</v>
      </c>
      <c r="I48" s="3" t="s">
        <v>275</v>
      </c>
    </row>
    <row r="49" ht="17" spans="1:9">
      <c r="A49" s="7" t="s">
        <v>276</v>
      </c>
      <c r="B49" s="9">
        <v>4</v>
      </c>
      <c r="C49" s="9">
        <v>0</v>
      </c>
      <c r="D49" s="9">
        <v>1</v>
      </c>
      <c r="E49" s="9">
        <v>0</v>
      </c>
      <c r="F49" s="9">
        <v>7</v>
      </c>
      <c r="G49" s="9">
        <v>8</v>
      </c>
      <c r="H49" s="9">
        <v>5</v>
      </c>
      <c r="I49" s="9">
        <v>25</v>
      </c>
    </row>
    <row r="50" ht="17" spans="1:9">
      <c r="A50" s="10" t="s">
        <v>277</v>
      </c>
      <c r="B50" s="11">
        <v>9</v>
      </c>
      <c r="C50" s="11">
        <v>0</v>
      </c>
      <c r="D50" s="11">
        <v>2</v>
      </c>
      <c r="E50" s="11">
        <v>2</v>
      </c>
      <c r="F50" s="11">
        <v>6</v>
      </c>
      <c r="G50" s="11">
        <v>4</v>
      </c>
      <c r="H50" s="11">
        <v>2</v>
      </c>
      <c r="I50" s="11">
        <v>25</v>
      </c>
    </row>
    <row r="51" ht="17" spans="1:9">
      <c r="A51" s="10" t="s">
        <v>278</v>
      </c>
      <c r="B51" s="11">
        <v>0</v>
      </c>
      <c r="C51" s="11">
        <v>9</v>
      </c>
      <c r="D51" s="11">
        <v>6</v>
      </c>
      <c r="E51" s="11">
        <v>3</v>
      </c>
      <c r="F51" s="11">
        <v>1</v>
      </c>
      <c r="G51" s="11">
        <v>1</v>
      </c>
      <c r="H51" s="11">
        <v>5</v>
      </c>
      <c r="I51" s="11">
        <v>25</v>
      </c>
    </row>
    <row r="52" ht="17" spans="1:9">
      <c r="A52" s="10" t="s">
        <v>279</v>
      </c>
      <c r="B52" s="11">
        <v>0</v>
      </c>
      <c r="C52" s="11">
        <v>8</v>
      </c>
      <c r="D52" s="11">
        <v>8</v>
      </c>
      <c r="E52" s="11">
        <v>4</v>
      </c>
      <c r="F52" s="11">
        <v>1</v>
      </c>
      <c r="G52" s="11">
        <v>1</v>
      </c>
      <c r="H52" s="11">
        <v>3</v>
      </c>
      <c r="I52" s="11">
        <v>25</v>
      </c>
    </row>
    <row r="53" ht="17" spans="1:9">
      <c r="A53" s="10" t="s">
        <v>280</v>
      </c>
      <c r="B53" s="11">
        <v>0</v>
      </c>
      <c r="C53" s="11">
        <v>7</v>
      </c>
      <c r="D53" s="11">
        <v>5</v>
      </c>
      <c r="E53" s="11">
        <v>1</v>
      </c>
      <c r="F53" s="11">
        <v>2</v>
      </c>
      <c r="G53" s="11">
        <v>1</v>
      </c>
      <c r="H53" s="11">
        <v>9</v>
      </c>
      <c r="I53" s="11">
        <v>25</v>
      </c>
    </row>
    <row r="54" ht="17" spans="1:9">
      <c r="A54" s="10" t="s">
        <v>281</v>
      </c>
      <c r="B54" s="11">
        <v>0</v>
      </c>
      <c r="C54" s="11">
        <v>6</v>
      </c>
      <c r="D54" s="11">
        <v>7</v>
      </c>
      <c r="E54" s="11">
        <v>2</v>
      </c>
      <c r="F54" s="11">
        <v>3</v>
      </c>
      <c r="G54" s="11">
        <v>3</v>
      </c>
      <c r="H54" s="11">
        <v>4</v>
      </c>
      <c r="I54" s="11">
        <v>25</v>
      </c>
    </row>
    <row r="55" ht="17" spans="1:9">
      <c r="A55" s="10" t="s">
        <v>282</v>
      </c>
      <c r="B55" s="11">
        <v>4</v>
      </c>
      <c r="C55" s="11">
        <v>0</v>
      </c>
      <c r="D55" s="11">
        <v>9</v>
      </c>
      <c r="E55" s="11">
        <v>8</v>
      </c>
      <c r="F55" s="11">
        <v>2</v>
      </c>
      <c r="G55" s="11">
        <v>1</v>
      </c>
      <c r="H55" s="11">
        <v>1</v>
      </c>
      <c r="I55" s="11">
        <v>25</v>
      </c>
    </row>
    <row r="56" ht="17" spans="1:9">
      <c r="A56" s="10" t="s">
        <v>283</v>
      </c>
      <c r="B56" s="11">
        <v>10</v>
      </c>
      <c r="C56" s="11">
        <v>0</v>
      </c>
      <c r="D56" s="11">
        <v>3</v>
      </c>
      <c r="E56" s="11">
        <v>0</v>
      </c>
      <c r="F56" s="11">
        <v>6</v>
      </c>
      <c r="G56" s="11">
        <v>5</v>
      </c>
      <c r="H56" s="11">
        <v>1</v>
      </c>
      <c r="I56" s="11">
        <v>25</v>
      </c>
    </row>
    <row r="59" ht="22" customHeight="1" spans="1:7">
      <c r="A59" s="5" t="s">
        <v>284</v>
      </c>
      <c r="B59" s="5"/>
      <c r="C59" s="5"/>
      <c r="D59" s="5"/>
      <c r="E59" s="5"/>
      <c r="F59" s="5"/>
      <c r="G59" s="5"/>
    </row>
    <row r="60" spans="1:7">
      <c r="A60" s="6" t="s">
        <v>285</v>
      </c>
      <c r="B60" s="6"/>
      <c r="C60" s="6"/>
      <c r="D60" s="6"/>
      <c r="E60" s="6"/>
      <c r="F60" s="6"/>
      <c r="G60" s="6"/>
    </row>
    <row r="61" ht="17" spans="1:7">
      <c r="A61" s="3" t="s">
        <v>223</v>
      </c>
      <c r="B61" s="3" t="s">
        <v>286</v>
      </c>
      <c r="C61" s="3" t="s">
        <v>160</v>
      </c>
      <c r="D61" s="3" t="s">
        <v>161</v>
      </c>
      <c r="E61" s="3" t="s">
        <v>162</v>
      </c>
      <c r="F61" s="3" t="s">
        <v>287</v>
      </c>
      <c r="G61" s="3" t="s">
        <v>164</v>
      </c>
    </row>
    <row r="62" ht="51" spans="1:7">
      <c r="A62" s="7" t="s">
        <v>225</v>
      </c>
      <c r="B62" s="7" t="s">
        <v>288</v>
      </c>
      <c r="C62" s="7" t="s">
        <v>289</v>
      </c>
      <c r="D62" s="7" t="s">
        <v>290</v>
      </c>
      <c r="E62" s="7" t="s">
        <v>291</v>
      </c>
      <c r="F62" s="7" t="s">
        <v>292</v>
      </c>
      <c r="G62" s="7" t="s">
        <v>293</v>
      </c>
    </row>
    <row r="63" ht="51" spans="1:7">
      <c r="A63" s="10" t="s">
        <v>228</v>
      </c>
      <c r="B63" s="10" t="s">
        <v>294</v>
      </c>
      <c r="C63" s="10" t="s">
        <v>295</v>
      </c>
      <c r="D63" s="10" t="s">
        <v>296</v>
      </c>
      <c r="E63" s="10" t="s">
        <v>297</v>
      </c>
      <c r="F63" s="10" t="s">
        <v>298</v>
      </c>
      <c r="G63" s="10" t="s">
        <v>299</v>
      </c>
    </row>
    <row r="64" ht="51" spans="1:7">
      <c r="A64" s="10" t="s">
        <v>230</v>
      </c>
      <c r="B64" s="10" t="s">
        <v>300</v>
      </c>
      <c r="C64" s="10" t="s">
        <v>301</v>
      </c>
      <c r="D64" s="10" t="s">
        <v>302</v>
      </c>
      <c r="E64" s="10" t="s">
        <v>303</v>
      </c>
      <c r="F64" s="10" t="s">
        <v>304</v>
      </c>
      <c r="G64" s="10" t="s">
        <v>305</v>
      </c>
    </row>
    <row r="65" ht="51" spans="1:7">
      <c r="A65" s="10" t="s">
        <v>232</v>
      </c>
      <c r="B65" s="10" t="s">
        <v>306</v>
      </c>
      <c r="C65" s="10" t="s">
        <v>307</v>
      </c>
      <c r="D65" s="10" t="s">
        <v>308</v>
      </c>
      <c r="E65" s="10" t="s">
        <v>309</v>
      </c>
      <c r="F65" s="10" t="s">
        <v>310</v>
      </c>
      <c r="G65" s="10" t="s">
        <v>311</v>
      </c>
    </row>
    <row r="68" ht="22" customHeight="1" spans="1:5">
      <c r="A68" s="5" t="s">
        <v>312</v>
      </c>
      <c r="B68" s="5"/>
      <c r="C68" s="5"/>
      <c r="D68" s="5"/>
      <c r="E68" s="5"/>
    </row>
    <row r="69" spans="1:5">
      <c r="A69" s="6" t="s">
        <v>313</v>
      </c>
      <c r="B69" s="6"/>
      <c r="C69" s="6"/>
      <c r="D69" s="6"/>
      <c r="E69" s="6"/>
    </row>
    <row r="70" ht="17" spans="1:5">
      <c r="A70" s="3" t="s">
        <v>314</v>
      </c>
      <c r="B70" s="3" t="s">
        <v>161</v>
      </c>
      <c r="C70" s="3" t="s">
        <v>162</v>
      </c>
      <c r="D70" s="3" t="s">
        <v>163</v>
      </c>
      <c r="E70" s="3" t="s">
        <v>164</v>
      </c>
    </row>
    <row r="71" ht="51" spans="1:5">
      <c r="A71" s="7" t="s">
        <v>315</v>
      </c>
      <c r="B71" s="7" t="s">
        <v>316</v>
      </c>
      <c r="C71" s="7" t="s">
        <v>317</v>
      </c>
      <c r="D71" s="7" t="s">
        <v>318</v>
      </c>
      <c r="E71" s="7" t="s">
        <v>319</v>
      </c>
    </row>
    <row r="72" ht="51" spans="1:5">
      <c r="A72" s="10" t="s">
        <v>320</v>
      </c>
      <c r="B72" s="10" t="s">
        <v>321</v>
      </c>
      <c r="C72" s="10" t="s">
        <v>322</v>
      </c>
      <c r="D72" s="10" t="s">
        <v>323</v>
      </c>
      <c r="E72" s="10" t="s">
        <v>324</v>
      </c>
    </row>
    <row r="73" ht="51" spans="1:5">
      <c r="A73" s="10" t="s">
        <v>325</v>
      </c>
      <c r="B73" s="10" t="s">
        <v>326</v>
      </c>
      <c r="C73" s="10" t="s">
        <v>327</v>
      </c>
      <c r="D73" s="10" t="s">
        <v>328</v>
      </c>
      <c r="E73" s="10" t="s">
        <v>329</v>
      </c>
    </row>
    <row r="74" ht="51" spans="1:5">
      <c r="A74" s="10" t="s">
        <v>330</v>
      </c>
      <c r="B74" s="10" t="s">
        <v>331</v>
      </c>
      <c r="C74" s="10" t="s">
        <v>332</v>
      </c>
      <c r="D74" s="10" t="s">
        <v>333</v>
      </c>
      <c r="E74" s="10" t="s">
        <v>334</v>
      </c>
    </row>
    <row r="75" ht="51" spans="1:5">
      <c r="A75" s="10" t="s">
        <v>335</v>
      </c>
      <c r="B75" s="10" t="s">
        <v>336</v>
      </c>
      <c r="C75" s="10" t="s">
        <v>337</v>
      </c>
      <c r="D75" s="10" t="s">
        <v>338</v>
      </c>
      <c r="E75" s="10" t="s">
        <v>339</v>
      </c>
    </row>
    <row r="76" ht="51" spans="1:5">
      <c r="A76" s="10" t="s">
        <v>340</v>
      </c>
      <c r="B76" s="10" t="s">
        <v>341</v>
      </c>
      <c r="C76" s="10" t="s">
        <v>342</v>
      </c>
      <c r="D76" s="10" t="s">
        <v>343</v>
      </c>
      <c r="E76" s="10" t="s">
        <v>344</v>
      </c>
    </row>
    <row r="77" ht="51" spans="1:5">
      <c r="A77" s="10" t="s">
        <v>345</v>
      </c>
      <c r="B77" s="10" t="s">
        <v>346</v>
      </c>
      <c r="C77" s="10" t="s">
        <v>347</v>
      </c>
      <c r="D77" s="10" t="s">
        <v>348</v>
      </c>
      <c r="E77" s="10" t="s">
        <v>349</v>
      </c>
    </row>
    <row r="78" ht="51" spans="1:5">
      <c r="A78" s="10" t="s">
        <v>350</v>
      </c>
      <c r="B78" s="10" t="s">
        <v>351</v>
      </c>
      <c r="C78" s="10" t="s">
        <v>352</v>
      </c>
      <c r="D78" s="10" t="s">
        <v>353</v>
      </c>
      <c r="E78" s="10" t="s">
        <v>354</v>
      </c>
    </row>
  </sheetData>
  <mergeCells count="16">
    <mergeCell ref="A1:J1"/>
    <mergeCell ref="A2:J2"/>
    <mergeCell ref="A4:D4"/>
    <mergeCell ref="A5:D5"/>
    <mergeCell ref="A15:C15"/>
    <mergeCell ref="A16:C16"/>
    <mergeCell ref="A24:H24"/>
    <mergeCell ref="A25:H25"/>
    <mergeCell ref="A33:I33"/>
    <mergeCell ref="A34:I34"/>
    <mergeCell ref="A46:I46"/>
    <mergeCell ref="A47:I47"/>
    <mergeCell ref="A59:G59"/>
    <mergeCell ref="A60:G60"/>
    <mergeCell ref="A68:E68"/>
    <mergeCell ref="A69:E69"/>
  </mergeCells>
  <pageMargins left="0.7" right="0.7" top="0.75" bottom="0.75" header="0.3" footer="0.3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0"/>
  <sheetViews>
    <sheetView showGridLines="0" workbookViewId="0">
      <selection activeCell="A1" sqref="A1:I1"/>
    </sheetView>
  </sheetViews>
  <sheetFormatPr defaultColWidth="9" defaultRowHeight="16.8"/>
  <cols>
    <col min="1" max="1" width="28" customWidth="1"/>
    <col min="2" max="2" width="58" customWidth="1"/>
    <col min="3" max="6" width="18" customWidth="1"/>
    <col min="7" max="7" width="22" customWidth="1"/>
    <col min="8" max="8" width="28" customWidth="1"/>
    <col min="9" max="9" width="24" customWidth="1"/>
  </cols>
  <sheetData>
    <row r="1" ht="30" customHeight="1" spans="1:9">
      <c r="A1" s="1" t="s">
        <v>355</v>
      </c>
      <c r="B1" s="1"/>
      <c r="C1" s="1"/>
      <c r="D1" s="1"/>
      <c r="E1" s="1"/>
      <c r="F1" s="1"/>
      <c r="G1" s="1"/>
      <c r="H1" s="1"/>
      <c r="I1" s="1"/>
    </row>
    <row r="2" ht="30" customHeight="1" spans="1:9">
      <c r="A2" s="2" t="s">
        <v>356</v>
      </c>
      <c r="B2" s="2"/>
      <c r="C2" s="2"/>
      <c r="D2" s="2"/>
      <c r="E2" s="2"/>
      <c r="F2" s="2"/>
      <c r="G2" s="2"/>
      <c r="H2" s="2"/>
      <c r="I2" s="2"/>
    </row>
    <row r="4" ht="22" customHeight="1" spans="1:9">
      <c r="A4" s="5" t="s">
        <v>357</v>
      </c>
      <c r="B4" s="5"/>
      <c r="C4" s="5"/>
      <c r="D4" s="5"/>
      <c r="E4" s="5"/>
      <c r="F4" s="5"/>
      <c r="G4" s="5"/>
      <c r="H4" s="5"/>
      <c r="I4" s="5"/>
    </row>
    <row r="5" spans="1:9">
      <c r="A5" s="6" t="s">
        <v>358</v>
      </c>
      <c r="B5" s="6"/>
      <c r="C5" s="6"/>
      <c r="D5" s="6"/>
      <c r="E5" s="6"/>
      <c r="F5" s="6"/>
      <c r="G5" s="6"/>
      <c r="H5" s="6"/>
      <c r="I5" s="6"/>
    </row>
    <row r="6" ht="17" spans="1:3">
      <c r="A6" s="3" t="s">
        <v>359</v>
      </c>
      <c r="B6" s="3" t="s">
        <v>360</v>
      </c>
      <c r="C6" s="3" t="s">
        <v>78</v>
      </c>
    </row>
    <row r="7" ht="17" spans="1:3">
      <c r="A7" s="7" t="s">
        <v>361</v>
      </c>
      <c r="B7" s="7" t="s">
        <v>362</v>
      </c>
      <c r="C7" s="7" t="s">
        <v>363</v>
      </c>
    </row>
    <row r="8" ht="17" spans="1:3">
      <c r="A8" s="10" t="s">
        <v>364</v>
      </c>
      <c r="B8" s="10" t="s">
        <v>365</v>
      </c>
      <c r="C8" s="10" t="s">
        <v>366</v>
      </c>
    </row>
    <row r="9" ht="17" spans="1:3">
      <c r="A9" s="10" t="s">
        <v>367</v>
      </c>
      <c r="B9" s="10" t="s">
        <v>368</v>
      </c>
      <c r="C9" s="10" t="s">
        <v>366</v>
      </c>
    </row>
    <row r="10" ht="17" spans="1:3">
      <c r="A10" s="10" t="s">
        <v>369</v>
      </c>
      <c r="B10" s="10" t="s">
        <v>370</v>
      </c>
      <c r="C10" s="10" t="s">
        <v>371</v>
      </c>
    </row>
    <row r="11" ht="17" spans="1:3">
      <c r="A11" s="10" t="s">
        <v>372</v>
      </c>
      <c r="B11" s="10" t="s">
        <v>373</v>
      </c>
      <c r="C11" s="10" t="s">
        <v>371</v>
      </c>
    </row>
    <row r="12" ht="17" spans="1:3">
      <c r="A12" s="10" t="s">
        <v>374</v>
      </c>
      <c r="B12" s="10" t="s">
        <v>375</v>
      </c>
      <c r="C12" s="10" t="s">
        <v>376</v>
      </c>
    </row>
    <row r="13" ht="17" spans="1:3">
      <c r="A13" s="10" t="s">
        <v>377</v>
      </c>
      <c r="B13" s="10" t="s">
        <v>378</v>
      </c>
      <c r="C13" s="10" t="s">
        <v>379</v>
      </c>
    </row>
    <row r="14" ht="17" spans="1:3">
      <c r="A14" s="10" t="s">
        <v>380</v>
      </c>
      <c r="B14" s="10" t="s">
        <v>381</v>
      </c>
      <c r="C14" s="10" t="s">
        <v>371</v>
      </c>
    </row>
    <row r="15" ht="17" spans="1:3">
      <c r="A15" s="10" t="s">
        <v>382</v>
      </c>
      <c r="B15" s="10" t="s">
        <v>383</v>
      </c>
      <c r="C15" s="10" t="s">
        <v>371</v>
      </c>
    </row>
    <row r="16" ht="17" spans="1:3">
      <c r="A16" s="10" t="s">
        <v>384</v>
      </c>
      <c r="B16" s="10" t="s">
        <v>385</v>
      </c>
      <c r="C16" s="10" t="s">
        <v>386</v>
      </c>
    </row>
    <row r="17" ht="17" spans="1:3">
      <c r="A17" s="10" t="s">
        <v>387</v>
      </c>
      <c r="B17" s="10" t="s">
        <v>388</v>
      </c>
      <c r="C17" s="10" t="s">
        <v>371</v>
      </c>
    </row>
    <row r="20" ht="22" customHeight="1" spans="1:8">
      <c r="A20" s="5" t="s">
        <v>389</v>
      </c>
      <c r="B20" s="5"/>
      <c r="C20" s="5"/>
      <c r="D20" s="5"/>
      <c r="E20" s="5"/>
      <c r="F20" s="5"/>
      <c r="G20" s="5"/>
      <c r="H20" s="5"/>
    </row>
    <row r="21" spans="1:8">
      <c r="A21" s="6" t="s">
        <v>390</v>
      </c>
      <c r="B21" s="6"/>
      <c r="C21" s="6"/>
      <c r="D21" s="6"/>
      <c r="E21" s="6"/>
      <c r="F21" s="6"/>
      <c r="G21" s="6"/>
      <c r="H21" s="6"/>
    </row>
    <row r="22" ht="17" spans="1:8">
      <c r="A22" s="3" t="s">
        <v>391</v>
      </c>
      <c r="B22" s="3" t="s">
        <v>392</v>
      </c>
      <c r="C22" s="3" t="s">
        <v>393</v>
      </c>
      <c r="D22" s="3" t="s">
        <v>394</v>
      </c>
      <c r="E22" s="3" t="s">
        <v>395</v>
      </c>
      <c r="F22" s="3" t="s">
        <v>396</v>
      </c>
      <c r="G22" s="3" t="s">
        <v>397</v>
      </c>
      <c r="H22" s="3" t="s">
        <v>398</v>
      </c>
    </row>
    <row r="23" ht="17" spans="1:8">
      <c r="A23" s="7" t="s">
        <v>399</v>
      </c>
      <c r="B23" s="7" t="s">
        <v>400</v>
      </c>
      <c r="C23" s="7" t="s">
        <v>401</v>
      </c>
      <c r="D23" s="7" t="s">
        <v>402</v>
      </c>
      <c r="E23" s="7" t="s">
        <v>403</v>
      </c>
      <c r="F23" s="7" t="s">
        <v>404</v>
      </c>
      <c r="G23" s="7" t="s">
        <v>405</v>
      </c>
      <c r="H23" s="7" t="s">
        <v>406</v>
      </c>
    </row>
    <row r="24" ht="17" spans="1:8">
      <c r="A24" s="10" t="s">
        <v>407</v>
      </c>
      <c r="B24" s="10" t="s">
        <v>408</v>
      </c>
      <c r="C24" s="10" t="s">
        <v>409</v>
      </c>
      <c r="D24" s="10" t="s">
        <v>410</v>
      </c>
      <c r="E24" s="10" t="s">
        <v>411</v>
      </c>
      <c r="F24" s="10" t="s">
        <v>412</v>
      </c>
      <c r="G24" s="10" t="s">
        <v>413</v>
      </c>
      <c r="H24" s="10" t="s">
        <v>414</v>
      </c>
    </row>
    <row r="25" ht="17" spans="1:8">
      <c r="A25" s="10" t="s">
        <v>415</v>
      </c>
      <c r="B25" s="10" t="s">
        <v>416</v>
      </c>
      <c r="C25" s="10" t="s">
        <v>417</v>
      </c>
      <c r="D25" s="10" t="s">
        <v>418</v>
      </c>
      <c r="E25" s="10" t="s">
        <v>419</v>
      </c>
      <c r="F25" s="10" t="s">
        <v>420</v>
      </c>
      <c r="G25" s="10" t="s">
        <v>421</v>
      </c>
      <c r="H25" s="10" t="s">
        <v>422</v>
      </c>
    </row>
    <row r="26" ht="17" spans="1:8">
      <c r="A26" s="10" t="s">
        <v>423</v>
      </c>
      <c r="B26" s="10" t="s">
        <v>424</v>
      </c>
      <c r="C26" s="10" t="s">
        <v>425</v>
      </c>
      <c r="D26" s="10" t="s">
        <v>426</v>
      </c>
      <c r="E26" s="10" t="s">
        <v>427</v>
      </c>
      <c r="F26" s="10" t="s">
        <v>428</v>
      </c>
      <c r="G26" s="10" t="s">
        <v>429</v>
      </c>
      <c r="H26" s="10" t="s">
        <v>430</v>
      </c>
    </row>
    <row r="29" ht="22" customHeight="1" spans="1:3">
      <c r="A29" s="5" t="s">
        <v>431</v>
      </c>
      <c r="B29" s="5"/>
      <c r="C29" s="5"/>
    </row>
    <row r="30" spans="1:3">
      <c r="A30" s="6" t="s">
        <v>432</v>
      </c>
      <c r="B30" s="6"/>
      <c r="C30" s="6"/>
    </row>
    <row r="31" ht="17" spans="1:3">
      <c r="A31" s="3" t="s">
        <v>136</v>
      </c>
      <c r="B31" s="3" t="s">
        <v>433</v>
      </c>
      <c r="C31" s="3" t="s">
        <v>434</v>
      </c>
    </row>
    <row r="32" ht="34" spans="1:3">
      <c r="A32" s="7" t="s">
        <v>435</v>
      </c>
      <c r="B32" s="7" t="s">
        <v>436</v>
      </c>
      <c r="C32" s="7" t="s">
        <v>437</v>
      </c>
    </row>
    <row r="33" ht="34" spans="1:3">
      <c r="A33" s="10" t="s">
        <v>438</v>
      </c>
      <c r="B33" s="10" t="s">
        <v>439</v>
      </c>
      <c r="C33" s="10" t="s">
        <v>440</v>
      </c>
    </row>
    <row r="34" ht="17" spans="1:3">
      <c r="A34" s="10" t="s">
        <v>441</v>
      </c>
      <c r="B34" s="10" t="s">
        <v>442</v>
      </c>
      <c r="C34" s="10" t="s">
        <v>443</v>
      </c>
    </row>
    <row r="35" ht="34" spans="1:3">
      <c r="A35" s="10" t="s">
        <v>444</v>
      </c>
      <c r="B35" s="10" t="s">
        <v>445</v>
      </c>
      <c r="C35" s="10" t="s">
        <v>446</v>
      </c>
    </row>
    <row r="36" ht="17" spans="1:3">
      <c r="A36" s="10" t="s">
        <v>447</v>
      </c>
      <c r="B36" s="10" t="s">
        <v>448</v>
      </c>
      <c r="C36" s="10" t="s">
        <v>449</v>
      </c>
    </row>
    <row r="37" ht="34" spans="1:3">
      <c r="A37" s="10" t="s">
        <v>450</v>
      </c>
      <c r="B37" s="10" t="s">
        <v>451</v>
      </c>
      <c r="C37" s="10" t="s">
        <v>452</v>
      </c>
    </row>
    <row r="38" ht="34" spans="1:3">
      <c r="A38" s="10" t="s">
        <v>453</v>
      </c>
      <c r="B38" s="10" t="s">
        <v>454</v>
      </c>
      <c r="C38" s="10" t="s">
        <v>455</v>
      </c>
    </row>
    <row r="39" ht="34" spans="1:3">
      <c r="A39" s="10" t="s">
        <v>456</v>
      </c>
      <c r="B39" s="10" t="s">
        <v>457</v>
      </c>
      <c r="C39" s="10" t="s">
        <v>458</v>
      </c>
    </row>
    <row r="40" ht="34" spans="1:3">
      <c r="A40" s="10" t="s">
        <v>459</v>
      </c>
      <c r="B40" s="10" t="s">
        <v>460</v>
      </c>
      <c r="C40" s="10" t="s">
        <v>461</v>
      </c>
    </row>
    <row r="41" ht="34" spans="1:3">
      <c r="A41" s="10" t="s">
        <v>462</v>
      </c>
      <c r="B41" s="10" t="s">
        <v>463</v>
      </c>
      <c r="C41" s="10" t="s">
        <v>464</v>
      </c>
    </row>
    <row r="42" ht="68" spans="1:3">
      <c r="A42" s="10" t="s">
        <v>465</v>
      </c>
      <c r="B42" s="10" t="s">
        <v>466</v>
      </c>
      <c r="C42" s="10" t="s">
        <v>467</v>
      </c>
    </row>
    <row r="43" ht="34" spans="1:3">
      <c r="A43" s="10" t="s">
        <v>468</v>
      </c>
      <c r="B43" s="10" t="s">
        <v>469</v>
      </c>
      <c r="C43" s="10" t="s">
        <v>470</v>
      </c>
    </row>
    <row r="44" ht="17" spans="1:3">
      <c r="A44" s="10" t="s">
        <v>471</v>
      </c>
      <c r="B44" s="10" t="s">
        <v>472</v>
      </c>
      <c r="C44" s="10" t="s">
        <v>473</v>
      </c>
    </row>
    <row r="45" ht="17" spans="1:3">
      <c r="A45" s="10" t="s">
        <v>474</v>
      </c>
      <c r="B45" s="10" t="s">
        <v>475</v>
      </c>
      <c r="C45" s="10" t="s">
        <v>476</v>
      </c>
    </row>
    <row r="46" ht="34" spans="1:3">
      <c r="A46" s="10" t="s">
        <v>477</v>
      </c>
      <c r="B46" s="10" t="s">
        <v>478</v>
      </c>
      <c r="C46" s="10" t="s">
        <v>479</v>
      </c>
    </row>
    <row r="47" ht="17" spans="1:3">
      <c r="A47" s="10" t="s">
        <v>480</v>
      </c>
      <c r="B47" s="10" t="s">
        <v>481</v>
      </c>
      <c r="C47" s="10" t="s">
        <v>482</v>
      </c>
    </row>
    <row r="48" ht="51" spans="1:3">
      <c r="A48" s="10" t="s">
        <v>483</v>
      </c>
      <c r="B48" s="10" t="s">
        <v>484</v>
      </c>
      <c r="C48" s="10" t="s">
        <v>485</v>
      </c>
    </row>
    <row r="49" ht="34" spans="1:3">
      <c r="A49" s="10" t="s">
        <v>486</v>
      </c>
      <c r="B49" s="10" t="s">
        <v>487</v>
      </c>
      <c r="C49" s="10" t="s">
        <v>488</v>
      </c>
    </row>
    <row r="50" ht="34" spans="1:3">
      <c r="A50" s="10" t="s">
        <v>489</v>
      </c>
      <c r="B50" s="10" t="s">
        <v>490</v>
      </c>
      <c r="C50" s="10" t="s">
        <v>491</v>
      </c>
    </row>
    <row r="53" ht="22" customHeight="1" spans="1:6">
      <c r="A53" s="5" t="s">
        <v>492</v>
      </c>
      <c r="B53" s="5"/>
      <c r="C53" s="5"/>
      <c r="D53" s="5"/>
      <c r="E53" s="5"/>
      <c r="F53" s="5"/>
    </row>
    <row r="54" spans="1:6">
      <c r="A54" s="6" t="s">
        <v>493</v>
      </c>
      <c r="B54" s="6"/>
      <c r="C54" s="6"/>
      <c r="D54" s="6"/>
      <c r="E54" s="6"/>
      <c r="F54" s="6"/>
    </row>
    <row r="55" ht="17" spans="1:6">
      <c r="A55" s="3" t="s">
        <v>494</v>
      </c>
      <c r="B55" s="3" t="s">
        <v>399</v>
      </c>
      <c r="C55" s="3" t="s">
        <v>407</v>
      </c>
      <c r="D55" s="3" t="s">
        <v>415</v>
      </c>
      <c r="E55" s="3" t="s">
        <v>423</v>
      </c>
      <c r="F55" s="3" t="s">
        <v>275</v>
      </c>
    </row>
    <row r="56" ht="17" spans="1:6">
      <c r="A56" s="7" t="s">
        <v>495</v>
      </c>
      <c r="B56" s="9">
        <v>400</v>
      </c>
      <c r="C56" s="9">
        <v>900</v>
      </c>
      <c r="D56" s="9">
        <v>2600</v>
      </c>
      <c r="E56" s="9">
        <v>3600</v>
      </c>
      <c r="F56" s="9">
        <v>7500</v>
      </c>
    </row>
    <row r="57" ht="17" spans="1:6">
      <c r="A57" s="10" t="s">
        <v>496</v>
      </c>
      <c r="B57" s="11">
        <v>200</v>
      </c>
      <c r="C57" s="11">
        <v>700</v>
      </c>
      <c r="D57" s="11">
        <v>1800</v>
      </c>
      <c r="E57" s="11">
        <v>4000</v>
      </c>
      <c r="F57" s="11">
        <v>6700</v>
      </c>
    </row>
    <row r="58" ht="17" spans="1:6">
      <c r="A58" s="10" t="s">
        <v>497</v>
      </c>
      <c r="B58" s="11">
        <v>250</v>
      </c>
      <c r="C58" s="11">
        <v>500</v>
      </c>
      <c r="D58" s="11">
        <v>1300</v>
      </c>
      <c r="E58" s="11">
        <v>1800</v>
      </c>
      <c r="F58" s="11">
        <v>3850</v>
      </c>
    </row>
    <row r="59" ht="17" spans="1:6">
      <c r="A59" s="10" t="s">
        <v>498</v>
      </c>
      <c r="B59" s="11">
        <v>350</v>
      </c>
      <c r="C59" s="11">
        <v>750</v>
      </c>
      <c r="D59" s="11">
        <v>1500</v>
      </c>
      <c r="E59" s="11">
        <v>2100</v>
      </c>
      <c r="F59" s="11">
        <v>4700</v>
      </c>
    </row>
    <row r="60" ht="17" spans="1:6">
      <c r="A60" s="10" t="s">
        <v>499</v>
      </c>
      <c r="B60" s="11">
        <v>250</v>
      </c>
      <c r="C60" s="11">
        <v>450</v>
      </c>
      <c r="D60" s="11">
        <v>750</v>
      </c>
      <c r="E60" s="11">
        <v>950</v>
      </c>
      <c r="F60" s="11">
        <v>2400</v>
      </c>
    </row>
    <row r="61" ht="17" spans="1:6">
      <c r="A61" s="10" t="s">
        <v>275</v>
      </c>
      <c r="B61" s="11">
        <v>1450</v>
      </c>
      <c r="C61" s="11">
        <v>3300</v>
      </c>
      <c r="D61" s="11">
        <v>7950</v>
      </c>
      <c r="E61" s="11">
        <v>12450</v>
      </c>
      <c r="F61" s="11">
        <v>25150</v>
      </c>
    </row>
    <row r="64" ht="22" customHeight="1" spans="1:4">
      <c r="A64" s="5" t="s">
        <v>500</v>
      </c>
      <c r="B64" s="5"/>
      <c r="C64" s="5"/>
      <c r="D64" s="5"/>
    </row>
    <row r="65" spans="1:4">
      <c r="A65" s="6" t="s">
        <v>501</v>
      </c>
      <c r="B65" s="6"/>
      <c r="C65" s="6"/>
      <c r="D65" s="6"/>
    </row>
    <row r="66" ht="17" spans="1:4">
      <c r="A66" s="3" t="s">
        <v>502</v>
      </c>
      <c r="B66" s="3" t="s">
        <v>503</v>
      </c>
      <c r="C66" s="3" t="s">
        <v>504</v>
      </c>
      <c r="D66" s="3" t="s">
        <v>505</v>
      </c>
    </row>
    <row r="67" ht="17" spans="1:4">
      <c r="A67" s="9">
        <v>1</v>
      </c>
      <c r="B67" s="7" t="s">
        <v>506</v>
      </c>
      <c r="C67" s="7" t="s">
        <v>507</v>
      </c>
      <c r="D67" s="7" t="s">
        <v>508</v>
      </c>
    </row>
    <row r="68" ht="17" spans="1:4">
      <c r="A68" s="11">
        <v>2</v>
      </c>
      <c r="B68" s="10" t="s">
        <v>509</v>
      </c>
      <c r="C68" s="10" t="s">
        <v>510</v>
      </c>
      <c r="D68" s="10" t="s">
        <v>511</v>
      </c>
    </row>
    <row r="69" ht="17" spans="1:4">
      <c r="A69" s="11">
        <v>3</v>
      </c>
      <c r="B69" s="10" t="s">
        <v>512</v>
      </c>
      <c r="C69" s="10" t="s">
        <v>513</v>
      </c>
      <c r="D69" s="10" t="s">
        <v>514</v>
      </c>
    </row>
    <row r="70" ht="17" spans="1:4">
      <c r="A70" s="11">
        <v>4</v>
      </c>
      <c r="B70" s="10" t="s">
        <v>515</v>
      </c>
      <c r="C70" s="10" t="s">
        <v>516</v>
      </c>
      <c r="D70" s="10" t="s">
        <v>517</v>
      </c>
    </row>
  </sheetData>
  <mergeCells count="12">
    <mergeCell ref="A1:I1"/>
    <mergeCell ref="A2:I2"/>
    <mergeCell ref="A4:I4"/>
    <mergeCell ref="A5:I5"/>
    <mergeCell ref="A20:H20"/>
    <mergeCell ref="A21:H21"/>
    <mergeCell ref="A29:C29"/>
    <mergeCell ref="A30:C30"/>
    <mergeCell ref="A53:F53"/>
    <mergeCell ref="A54:F54"/>
    <mergeCell ref="A64:D64"/>
    <mergeCell ref="A65:D65"/>
  </mergeCells>
  <pageMargins left="0.7" right="0.7" top="0.75" bottom="0.75" header="0.3" footer="0.3"/>
  <headerFooter/>
  <tableParts count="5">
    <tablePart r:id="rId1"/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1"/>
  <sheetViews>
    <sheetView showGridLines="0" workbookViewId="0">
      <selection activeCell="A1" sqref="A1:Q1"/>
    </sheetView>
  </sheetViews>
  <sheetFormatPr defaultColWidth="9" defaultRowHeight="16.8"/>
  <cols>
    <col min="1" max="1" width="13" customWidth="1"/>
    <col min="2" max="2" width="16" customWidth="1"/>
    <col min="3" max="3" width="24" customWidth="1"/>
    <col min="4" max="4" width="28" customWidth="1"/>
    <col min="5" max="5" width="18" customWidth="1"/>
    <col min="6" max="6" width="16" customWidth="1"/>
    <col min="7" max="7" width="12" customWidth="1"/>
    <col min="8" max="8" width="13" customWidth="1"/>
    <col min="9" max="9" width="12" customWidth="1"/>
    <col min="10" max="10" width="13" customWidth="1"/>
    <col min="11" max="11" width="54" customWidth="1"/>
    <col min="12" max="12" width="12" customWidth="1"/>
    <col min="13" max="13" width="13" customWidth="1"/>
    <col min="14" max="14" width="12" customWidth="1"/>
    <col min="15" max="15" width="13" customWidth="1"/>
    <col min="16" max="16" width="54" customWidth="1"/>
    <col min="17" max="17" width="36" customWidth="1"/>
  </cols>
  <sheetData>
    <row r="1" ht="30" customHeight="1" spans="1:17">
      <c r="A1" s="1" t="s">
        <v>518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30" customHeight="1" spans="1:17">
      <c r="A2" s="2" t="s">
        <v>519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ht="17" spans="1:17">
      <c r="A4" s="3" t="s">
        <v>391</v>
      </c>
      <c r="B4" s="3" t="s">
        <v>224</v>
      </c>
      <c r="C4" s="3" t="s">
        <v>520</v>
      </c>
      <c r="D4" s="3" t="s">
        <v>521</v>
      </c>
      <c r="E4" s="3" t="s">
        <v>522</v>
      </c>
      <c r="F4" s="3" t="s">
        <v>523</v>
      </c>
      <c r="G4" s="3" t="s">
        <v>524</v>
      </c>
      <c r="H4" s="3" t="s">
        <v>525</v>
      </c>
      <c r="I4" s="3" t="s">
        <v>526</v>
      </c>
      <c r="J4" s="3" t="s">
        <v>527</v>
      </c>
      <c r="K4" s="3" t="s">
        <v>528</v>
      </c>
      <c r="L4" s="3" t="s">
        <v>529</v>
      </c>
      <c r="M4" s="3" t="s">
        <v>530</v>
      </c>
      <c r="N4" s="3" t="s">
        <v>531</v>
      </c>
      <c r="O4" s="3" t="s">
        <v>532</v>
      </c>
      <c r="P4" s="3" t="s">
        <v>533</v>
      </c>
      <c r="Q4" s="3" t="s">
        <v>79</v>
      </c>
    </row>
    <row r="5" ht="17" spans="1:17">
      <c r="A5" s="19" t="s">
        <v>177</v>
      </c>
      <c r="B5" s="19" t="s">
        <v>226</v>
      </c>
      <c r="C5" s="19" t="s">
        <v>226</v>
      </c>
      <c r="D5" s="19" t="s">
        <v>534</v>
      </c>
      <c r="E5" s="19" t="s">
        <v>535</v>
      </c>
      <c r="F5" s="19" t="s">
        <v>536</v>
      </c>
      <c r="G5" s="20">
        <v>24</v>
      </c>
      <c r="H5" s="20">
        <v>0</v>
      </c>
      <c r="I5" s="24">
        <f>IF(G5="","",G5/'01_关键参数'!$C$5)</f>
        <v>1.2</v>
      </c>
      <c r="J5" s="24">
        <f>IF(H5="","",H5/'01_关键参数'!$C$5)</f>
        <v>0</v>
      </c>
      <c r="K5" s="19" t="s">
        <v>537</v>
      </c>
      <c r="L5" s="20"/>
      <c r="M5" s="20"/>
      <c r="N5" s="24" t="str">
        <f>IF(L5="","",L5/'01_关键参数'!$C$5)</f>
        <v/>
      </c>
      <c r="O5" s="24" t="str">
        <f>IF(M5="","",M5/'01_关键参数'!$C$5)</f>
        <v/>
      </c>
      <c r="P5" s="19" t="s">
        <v>538</v>
      </c>
      <c r="Q5" s="19" t="s">
        <v>539</v>
      </c>
    </row>
    <row r="6" ht="17" spans="1:17">
      <c r="A6" s="19" t="s">
        <v>177</v>
      </c>
      <c r="B6" s="19" t="s">
        <v>226</v>
      </c>
      <c r="C6" s="19" t="s">
        <v>226</v>
      </c>
      <c r="D6" s="19" t="s">
        <v>540</v>
      </c>
      <c r="E6" s="19" t="s">
        <v>541</v>
      </c>
      <c r="F6" s="19" t="s">
        <v>542</v>
      </c>
      <c r="G6" s="20">
        <v>28</v>
      </c>
      <c r="H6" s="20">
        <v>120</v>
      </c>
      <c r="I6" s="24">
        <f>IF(G6="","",G6/'01_关键参数'!$C$5)</f>
        <v>1.4</v>
      </c>
      <c r="J6" s="24">
        <f>IF(H6="","",H6/'01_关键参数'!$C$5)</f>
        <v>6</v>
      </c>
      <c r="K6" s="19" t="s">
        <v>543</v>
      </c>
      <c r="L6" s="20"/>
      <c r="M6" s="20"/>
      <c r="N6" s="24" t="str">
        <f>IF(L6="","",L6/'01_关键参数'!$C$5)</f>
        <v/>
      </c>
      <c r="O6" s="24" t="str">
        <f>IF(M6="","",M6/'01_关键参数'!$C$5)</f>
        <v/>
      </c>
      <c r="P6" s="19" t="s">
        <v>538</v>
      </c>
      <c r="Q6" s="19" t="s">
        <v>539</v>
      </c>
    </row>
    <row r="7" ht="17" spans="1:17">
      <c r="A7" s="19" t="s">
        <v>177</v>
      </c>
      <c r="B7" s="19" t="s">
        <v>226</v>
      </c>
      <c r="C7" s="19" t="s">
        <v>226</v>
      </c>
      <c r="D7" s="19" t="s">
        <v>544</v>
      </c>
      <c r="E7" s="19" t="s">
        <v>545</v>
      </c>
      <c r="F7" s="19" t="s">
        <v>542</v>
      </c>
      <c r="G7" s="20">
        <v>26</v>
      </c>
      <c r="H7" s="20">
        <v>160</v>
      </c>
      <c r="I7" s="24">
        <f>IF(G7="","",G7/'01_关键参数'!$C$5)</f>
        <v>1.3</v>
      </c>
      <c r="J7" s="24">
        <f>IF(H7="","",H7/'01_关键参数'!$C$5)</f>
        <v>8</v>
      </c>
      <c r="K7" s="19" t="s">
        <v>546</v>
      </c>
      <c r="L7" s="20"/>
      <c r="M7" s="20"/>
      <c r="N7" s="24" t="str">
        <f>IF(L7="","",L7/'01_关键参数'!$C$5)</f>
        <v/>
      </c>
      <c r="O7" s="24" t="str">
        <f>IF(M7="","",M7/'01_关键参数'!$C$5)</f>
        <v/>
      </c>
      <c r="P7" s="19" t="s">
        <v>538</v>
      </c>
      <c r="Q7" s="19" t="s">
        <v>539</v>
      </c>
    </row>
    <row r="8" ht="17" spans="1:17">
      <c r="A8" s="19" t="s">
        <v>177</v>
      </c>
      <c r="B8" s="19" t="s">
        <v>229</v>
      </c>
      <c r="C8" s="19" t="s">
        <v>229</v>
      </c>
      <c r="D8" s="19" t="s">
        <v>547</v>
      </c>
      <c r="E8" s="19" t="s">
        <v>548</v>
      </c>
      <c r="F8" s="19" t="s">
        <v>536</v>
      </c>
      <c r="G8" s="20">
        <v>22</v>
      </c>
      <c r="H8" s="20">
        <v>0</v>
      </c>
      <c r="I8" s="24">
        <f>IF(G8="","",G8/'01_关键参数'!$C$5)</f>
        <v>1.1</v>
      </c>
      <c r="J8" s="24">
        <f>IF(H8="","",H8/'01_关键参数'!$C$5)</f>
        <v>0</v>
      </c>
      <c r="K8" s="19" t="s">
        <v>549</v>
      </c>
      <c r="L8" s="20"/>
      <c r="M8" s="20"/>
      <c r="N8" s="24" t="str">
        <f>IF(L8="","",L8/'01_关键参数'!$C$5)</f>
        <v/>
      </c>
      <c r="O8" s="24" t="str">
        <f>IF(M8="","",M8/'01_关键参数'!$C$5)</f>
        <v/>
      </c>
      <c r="P8" s="19" t="s">
        <v>538</v>
      </c>
      <c r="Q8" s="19" t="s">
        <v>550</v>
      </c>
    </row>
    <row r="9" ht="17" spans="1:17">
      <c r="A9" s="19" t="s">
        <v>177</v>
      </c>
      <c r="B9" s="19" t="s">
        <v>229</v>
      </c>
      <c r="C9" s="19" t="s">
        <v>229</v>
      </c>
      <c r="D9" s="19" t="s">
        <v>551</v>
      </c>
      <c r="E9" s="19" t="s">
        <v>552</v>
      </c>
      <c r="F9" s="19" t="s">
        <v>553</v>
      </c>
      <c r="G9" s="20">
        <v>34</v>
      </c>
      <c r="H9" s="20">
        <v>140</v>
      </c>
      <c r="I9" s="24">
        <f>IF(G9="","",G9/'01_关键参数'!$C$5)</f>
        <v>1.7</v>
      </c>
      <c r="J9" s="24">
        <f>IF(H9="","",H9/'01_关键参数'!$C$5)</f>
        <v>7</v>
      </c>
      <c r="K9" s="19" t="s">
        <v>554</v>
      </c>
      <c r="L9" s="20"/>
      <c r="M9" s="20"/>
      <c r="N9" s="24" t="str">
        <f>IF(L9="","",L9/'01_关键参数'!$C$5)</f>
        <v/>
      </c>
      <c r="O9" s="24" t="str">
        <f>IF(M9="","",M9/'01_关键参数'!$C$5)</f>
        <v/>
      </c>
      <c r="P9" s="19" t="s">
        <v>538</v>
      </c>
      <c r="Q9" s="19" t="s">
        <v>550</v>
      </c>
    </row>
    <row r="10" ht="17" spans="1:17">
      <c r="A10" s="19" t="s">
        <v>177</v>
      </c>
      <c r="B10" s="19" t="s">
        <v>229</v>
      </c>
      <c r="C10" s="19" t="s">
        <v>229</v>
      </c>
      <c r="D10" s="19" t="s">
        <v>555</v>
      </c>
      <c r="E10" s="19" t="s">
        <v>556</v>
      </c>
      <c r="F10" s="19" t="s">
        <v>557</v>
      </c>
      <c r="G10" s="20">
        <v>32</v>
      </c>
      <c r="H10" s="20">
        <v>150</v>
      </c>
      <c r="I10" s="24">
        <f>IF(G10="","",G10/'01_关键参数'!$C$5)</f>
        <v>1.6</v>
      </c>
      <c r="J10" s="24">
        <f>IF(H10="","",H10/'01_关键参数'!$C$5)</f>
        <v>7.5</v>
      </c>
      <c r="K10" s="19" t="s">
        <v>558</v>
      </c>
      <c r="L10" s="20"/>
      <c r="M10" s="20"/>
      <c r="N10" s="24" t="str">
        <f>IF(L10="","",L10/'01_关键参数'!$C$5)</f>
        <v/>
      </c>
      <c r="O10" s="24" t="str">
        <f>IF(M10="","",M10/'01_关键参数'!$C$5)</f>
        <v/>
      </c>
      <c r="P10" s="19" t="s">
        <v>538</v>
      </c>
      <c r="Q10" s="19" t="s">
        <v>550</v>
      </c>
    </row>
    <row r="11" ht="17" spans="1:17">
      <c r="A11" s="19" t="s">
        <v>177</v>
      </c>
      <c r="B11" s="19" t="s">
        <v>231</v>
      </c>
      <c r="C11" s="19" t="s">
        <v>231</v>
      </c>
      <c r="D11" s="19" t="s">
        <v>559</v>
      </c>
      <c r="E11" s="19" t="s">
        <v>560</v>
      </c>
      <c r="F11" s="19" t="s">
        <v>536</v>
      </c>
      <c r="G11" s="20">
        <v>23</v>
      </c>
      <c r="H11" s="20">
        <v>0</v>
      </c>
      <c r="I11" s="24">
        <f>IF(G11="","",G11/'01_关键参数'!$C$5)</f>
        <v>1.15</v>
      </c>
      <c r="J11" s="24">
        <f>IF(H11="","",H11/'01_关键参数'!$C$5)</f>
        <v>0</v>
      </c>
      <c r="K11" s="19" t="s">
        <v>561</v>
      </c>
      <c r="L11" s="20"/>
      <c r="M11" s="20"/>
      <c r="N11" s="24" t="str">
        <f>IF(L11="","",L11/'01_关键参数'!$C$5)</f>
        <v/>
      </c>
      <c r="O11" s="24" t="str">
        <f>IF(M11="","",M11/'01_关键参数'!$C$5)</f>
        <v/>
      </c>
      <c r="P11" s="19" t="s">
        <v>538</v>
      </c>
      <c r="Q11" s="19" t="s">
        <v>562</v>
      </c>
    </row>
    <row r="12" ht="17" spans="1:17">
      <c r="A12" s="19" t="s">
        <v>177</v>
      </c>
      <c r="B12" s="19" t="s">
        <v>231</v>
      </c>
      <c r="C12" s="19" t="s">
        <v>231</v>
      </c>
      <c r="D12" s="19" t="s">
        <v>563</v>
      </c>
      <c r="E12" s="19" t="s">
        <v>564</v>
      </c>
      <c r="F12" s="19" t="s">
        <v>557</v>
      </c>
      <c r="G12" s="20">
        <v>32</v>
      </c>
      <c r="H12" s="20">
        <v>150</v>
      </c>
      <c r="I12" s="24">
        <f>IF(G12="","",G12/'01_关键参数'!$C$5)</f>
        <v>1.6</v>
      </c>
      <c r="J12" s="24">
        <f>IF(H12="","",H12/'01_关键参数'!$C$5)</f>
        <v>7.5</v>
      </c>
      <c r="K12" s="19" t="s">
        <v>565</v>
      </c>
      <c r="L12" s="20"/>
      <c r="M12" s="20"/>
      <c r="N12" s="24" t="str">
        <f>IF(L12="","",L12/'01_关键参数'!$C$5)</f>
        <v/>
      </c>
      <c r="O12" s="24" t="str">
        <f>IF(M12="","",M12/'01_关键参数'!$C$5)</f>
        <v/>
      </c>
      <c r="P12" s="19" t="s">
        <v>538</v>
      </c>
      <c r="Q12" s="19" t="s">
        <v>562</v>
      </c>
    </row>
    <row r="13" ht="17" spans="1:17">
      <c r="A13" s="19" t="s">
        <v>177</v>
      </c>
      <c r="B13" s="19" t="s">
        <v>231</v>
      </c>
      <c r="C13" s="19" t="s">
        <v>231</v>
      </c>
      <c r="D13" s="19" t="s">
        <v>566</v>
      </c>
      <c r="E13" s="19" t="s">
        <v>567</v>
      </c>
      <c r="F13" s="19" t="s">
        <v>557</v>
      </c>
      <c r="G13" s="20">
        <v>30</v>
      </c>
      <c r="H13" s="20">
        <v>140</v>
      </c>
      <c r="I13" s="24">
        <f>IF(G13="","",G13/'01_关键参数'!$C$5)</f>
        <v>1.5</v>
      </c>
      <c r="J13" s="24">
        <f>IF(H13="","",H13/'01_关键参数'!$C$5)</f>
        <v>7</v>
      </c>
      <c r="K13" s="19" t="s">
        <v>568</v>
      </c>
      <c r="L13" s="20"/>
      <c r="M13" s="20"/>
      <c r="N13" s="24" t="str">
        <f>IF(L13="","",L13/'01_关键参数'!$C$5)</f>
        <v/>
      </c>
      <c r="O13" s="24" t="str">
        <f>IF(M13="","",M13/'01_关键参数'!$C$5)</f>
        <v/>
      </c>
      <c r="P13" s="19" t="s">
        <v>538</v>
      </c>
      <c r="Q13" s="19" t="s">
        <v>562</v>
      </c>
    </row>
    <row r="14" ht="17" spans="1:17">
      <c r="A14" s="19" t="s">
        <v>177</v>
      </c>
      <c r="B14" s="19" t="s">
        <v>233</v>
      </c>
      <c r="C14" s="19" t="s">
        <v>233</v>
      </c>
      <c r="D14" s="19" t="s">
        <v>569</v>
      </c>
      <c r="E14" s="19" t="s">
        <v>570</v>
      </c>
      <c r="F14" s="19" t="s">
        <v>536</v>
      </c>
      <c r="G14" s="20">
        <v>20</v>
      </c>
      <c r="H14" s="20">
        <v>0</v>
      </c>
      <c r="I14" s="24">
        <f>IF(G14="","",G14/'01_关键参数'!$C$5)</f>
        <v>1</v>
      </c>
      <c r="J14" s="24">
        <f>IF(H14="","",H14/'01_关键参数'!$C$5)</f>
        <v>0</v>
      </c>
      <c r="K14" s="19" t="s">
        <v>571</v>
      </c>
      <c r="L14" s="20"/>
      <c r="M14" s="20"/>
      <c r="N14" s="24" t="str">
        <f>IF(L14="","",L14/'01_关键参数'!$C$5)</f>
        <v/>
      </c>
      <c r="O14" s="24" t="str">
        <f>IF(M14="","",M14/'01_关键参数'!$C$5)</f>
        <v/>
      </c>
      <c r="P14" s="19" t="s">
        <v>538</v>
      </c>
      <c r="Q14" s="19" t="s">
        <v>572</v>
      </c>
    </row>
    <row r="15" ht="17" spans="1:17">
      <c r="A15" s="19" t="s">
        <v>177</v>
      </c>
      <c r="B15" s="19" t="s">
        <v>233</v>
      </c>
      <c r="C15" s="19" t="s">
        <v>233</v>
      </c>
      <c r="D15" s="19" t="s">
        <v>573</v>
      </c>
      <c r="E15" s="19" t="s">
        <v>574</v>
      </c>
      <c r="F15" s="19" t="s">
        <v>575</v>
      </c>
      <c r="G15" s="20">
        <v>29</v>
      </c>
      <c r="H15" s="20">
        <v>100</v>
      </c>
      <c r="I15" s="24">
        <f>IF(G15="","",G15/'01_关键参数'!$C$5)</f>
        <v>1.45</v>
      </c>
      <c r="J15" s="24">
        <f>IF(H15="","",H15/'01_关键参数'!$C$5)</f>
        <v>5</v>
      </c>
      <c r="K15" s="19" t="s">
        <v>576</v>
      </c>
      <c r="L15" s="20"/>
      <c r="M15" s="20"/>
      <c r="N15" s="24" t="str">
        <f>IF(L15="","",L15/'01_关键参数'!$C$5)</f>
        <v/>
      </c>
      <c r="O15" s="24" t="str">
        <f>IF(M15="","",M15/'01_关键参数'!$C$5)</f>
        <v/>
      </c>
      <c r="P15" s="19" t="s">
        <v>538</v>
      </c>
      <c r="Q15" s="19" t="s">
        <v>572</v>
      </c>
    </row>
    <row r="16" ht="17" spans="1:17">
      <c r="A16" s="19" t="s">
        <v>177</v>
      </c>
      <c r="B16" s="19" t="s">
        <v>233</v>
      </c>
      <c r="C16" s="19" t="s">
        <v>233</v>
      </c>
      <c r="D16" s="19" t="s">
        <v>577</v>
      </c>
      <c r="E16" s="19" t="s">
        <v>578</v>
      </c>
      <c r="F16" s="19" t="s">
        <v>542</v>
      </c>
      <c r="G16" s="20">
        <v>24</v>
      </c>
      <c r="H16" s="20">
        <v>160</v>
      </c>
      <c r="I16" s="24">
        <f>IF(G16="","",G16/'01_关键参数'!$C$5)</f>
        <v>1.2</v>
      </c>
      <c r="J16" s="24">
        <f>IF(H16="","",H16/'01_关键参数'!$C$5)</f>
        <v>8</v>
      </c>
      <c r="K16" s="19" t="s">
        <v>579</v>
      </c>
      <c r="L16" s="20"/>
      <c r="M16" s="20"/>
      <c r="N16" s="24" t="str">
        <f>IF(L16="","",L16/'01_关键参数'!$C$5)</f>
        <v/>
      </c>
      <c r="O16" s="24" t="str">
        <f>IF(M16="","",M16/'01_关键参数'!$C$5)</f>
        <v/>
      </c>
      <c r="P16" s="19" t="s">
        <v>538</v>
      </c>
      <c r="Q16" s="19" t="s">
        <v>572</v>
      </c>
    </row>
    <row r="17" ht="17" spans="1:17">
      <c r="A17" s="19" t="s">
        <v>580</v>
      </c>
      <c r="B17" s="19" t="s">
        <v>581</v>
      </c>
      <c r="C17" s="19" t="s">
        <v>582</v>
      </c>
      <c r="D17" s="19" t="s">
        <v>583</v>
      </c>
      <c r="E17" s="19" t="s">
        <v>584</v>
      </c>
      <c r="F17" s="19" t="s">
        <v>542</v>
      </c>
      <c r="G17" s="20">
        <v>27</v>
      </c>
      <c r="H17" s="20">
        <v>120</v>
      </c>
      <c r="I17" s="24">
        <f>IF(G17="","",G17/'01_关键参数'!$C$5)</f>
        <v>1.35</v>
      </c>
      <c r="J17" s="24">
        <f>IF(H17="","",H17/'01_关键参数'!$C$5)</f>
        <v>6</v>
      </c>
      <c r="K17" s="19" t="s">
        <v>585</v>
      </c>
      <c r="L17" s="20">
        <v>25</v>
      </c>
      <c r="M17" s="20">
        <v>110</v>
      </c>
      <c r="N17" s="24">
        <f>IF(L17="","",L17/'01_关键参数'!$C$5)</f>
        <v>1.25</v>
      </c>
      <c r="O17" s="24">
        <f>IF(M17="","",M17/'01_关键参数'!$C$5)</f>
        <v>5.5</v>
      </c>
      <c r="P17" s="19" t="s">
        <v>586</v>
      </c>
      <c r="Q17" s="19" t="s">
        <v>587</v>
      </c>
    </row>
    <row r="18" ht="17" spans="1:17">
      <c r="A18" s="19" t="s">
        <v>580</v>
      </c>
      <c r="B18" s="19" t="s">
        <v>581</v>
      </c>
      <c r="C18" s="19" t="s">
        <v>582</v>
      </c>
      <c r="D18" s="19" t="s">
        <v>588</v>
      </c>
      <c r="E18" s="19" t="s">
        <v>589</v>
      </c>
      <c r="F18" s="19" t="s">
        <v>536</v>
      </c>
      <c r="G18" s="20">
        <v>25</v>
      </c>
      <c r="H18" s="20">
        <v>80</v>
      </c>
      <c r="I18" s="24">
        <f>IF(G18="","",G18/'01_关键参数'!$C$5)</f>
        <v>1.25</v>
      </c>
      <c r="J18" s="24">
        <f>IF(H18="","",H18/'01_关键参数'!$C$5)</f>
        <v>4</v>
      </c>
      <c r="K18" s="19" t="s">
        <v>590</v>
      </c>
      <c r="L18" s="20">
        <v>23</v>
      </c>
      <c r="M18" s="20">
        <v>70</v>
      </c>
      <c r="N18" s="24">
        <f>IF(L18="","",L18/'01_关键参数'!$C$5)</f>
        <v>1.15</v>
      </c>
      <c r="O18" s="24">
        <f>IF(M18="","",M18/'01_关键参数'!$C$5)</f>
        <v>3.5</v>
      </c>
      <c r="P18" s="19" t="s">
        <v>591</v>
      </c>
      <c r="Q18" s="19" t="s">
        <v>587</v>
      </c>
    </row>
    <row r="19" ht="34" spans="1:17">
      <c r="A19" s="19" t="s">
        <v>580</v>
      </c>
      <c r="B19" s="19" t="s">
        <v>581</v>
      </c>
      <c r="C19" s="19" t="s">
        <v>582</v>
      </c>
      <c r="D19" s="19" t="s">
        <v>592</v>
      </c>
      <c r="E19" s="19" t="s">
        <v>593</v>
      </c>
      <c r="F19" s="19" t="s">
        <v>542</v>
      </c>
      <c r="G19" s="20">
        <v>26</v>
      </c>
      <c r="H19" s="20">
        <v>160</v>
      </c>
      <c r="I19" s="24">
        <f>IF(G19="","",G19/'01_关键参数'!$C$5)</f>
        <v>1.3</v>
      </c>
      <c r="J19" s="24">
        <f>IF(H19="","",H19/'01_关键参数'!$C$5)</f>
        <v>8</v>
      </c>
      <c r="K19" s="19" t="s">
        <v>594</v>
      </c>
      <c r="L19" s="20">
        <v>24</v>
      </c>
      <c r="M19" s="20">
        <v>145</v>
      </c>
      <c r="N19" s="24">
        <f>IF(L19="","",L19/'01_关键参数'!$C$5)</f>
        <v>1.2</v>
      </c>
      <c r="O19" s="24">
        <f>IF(M19="","",M19/'01_关键参数'!$C$5)</f>
        <v>7.25</v>
      </c>
      <c r="P19" s="19" t="s">
        <v>595</v>
      </c>
      <c r="Q19" s="19" t="s">
        <v>587</v>
      </c>
    </row>
    <row r="20" ht="17" spans="1:17">
      <c r="A20" s="19" t="s">
        <v>580</v>
      </c>
      <c r="B20" s="19" t="s">
        <v>581</v>
      </c>
      <c r="C20" s="19" t="s">
        <v>596</v>
      </c>
      <c r="D20" s="19" t="s">
        <v>597</v>
      </c>
      <c r="E20" s="19" t="s">
        <v>598</v>
      </c>
      <c r="F20" s="19" t="s">
        <v>542</v>
      </c>
      <c r="G20" s="20">
        <v>23</v>
      </c>
      <c r="H20" s="20">
        <v>150</v>
      </c>
      <c r="I20" s="24">
        <f>IF(G20="","",G20/'01_关键参数'!$C$5)</f>
        <v>1.15</v>
      </c>
      <c r="J20" s="24">
        <f>IF(H20="","",H20/'01_关键参数'!$C$5)</f>
        <v>7.5</v>
      </c>
      <c r="K20" s="19" t="s">
        <v>599</v>
      </c>
      <c r="L20" s="20">
        <v>21</v>
      </c>
      <c r="M20" s="20">
        <v>135</v>
      </c>
      <c r="N20" s="24">
        <f>IF(L20="","",L20/'01_关键参数'!$C$5)</f>
        <v>1.05</v>
      </c>
      <c r="O20" s="24">
        <f>IF(M20="","",M20/'01_关键参数'!$C$5)</f>
        <v>6.75</v>
      </c>
      <c r="P20" s="19" t="s">
        <v>600</v>
      </c>
      <c r="Q20" s="19" t="s">
        <v>601</v>
      </c>
    </row>
    <row r="21" ht="17" spans="1:17">
      <c r="A21" s="19" t="s">
        <v>580</v>
      </c>
      <c r="B21" s="19" t="s">
        <v>581</v>
      </c>
      <c r="C21" s="19" t="s">
        <v>596</v>
      </c>
      <c r="D21" s="19" t="s">
        <v>602</v>
      </c>
      <c r="E21" s="19" t="s">
        <v>603</v>
      </c>
      <c r="F21" s="19" t="s">
        <v>536</v>
      </c>
      <c r="G21" s="20">
        <v>26</v>
      </c>
      <c r="H21" s="20">
        <v>80</v>
      </c>
      <c r="I21" s="24">
        <f>IF(G21="","",G21/'01_关键参数'!$C$5)</f>
        <v>1.3</v>
      </c>
      <c r="J21" s="24">
        <f>IF(H21="","",H21/'01_关键参数'!$C$5)</f>
        <v>4</v>
      </c>
      <c r="K21" s="19" t="s">
        <v>604</v>
      </c>
      <c r="L21" s="20">
        <v>24</v>
      </c>
      <c r="M21" s="20">
        <v>70</v>
      </c>
      <c r="N21" s="24">
        <f>IF(L21="","",L21/'01_关键参数'!$C$5)</f>
        <v>1.2</v>
      </c>
      <c r="O21" s="24">
        <f>IF(M21="","",M21/'01_关键参数'!$C$5)</f>
        <v>3.5</v>
      </c>
      <c r="P21" s="19" t="s">
        <v>605</v>
      </c>
      <c r="Q21" s="19" t="s">
        <v>601</v>
      </c>
    </row>
    <row r="22" ht="17" spans="1:17">
      <c r="A22" s="19" t="s">
        <v>580</v>
      </c>
      <c r="B22" s="19" t="s">
        <v>581</v>
      </c>
      <c r="C22" s="19" t="s">
        <v>596</v>
      </c>
      <c r="D22" s="19" t="s">
        <v>606</v>
      </c>
      <c r="E22" s="19" t="s">
        <v>607</v>
      </c>
      <c r="F22" s="19" t="s">
        <v>553</v>
      </c>
      <c r="G22" s="20">
        <v>34</v>
      </c>
      <c r="H22" s="20">
        <v>130</v>
      </c>
      <c r="I22" s="24">
        <f>IF(G22="","",G22/'01_关键参数'!$C$5)</f>
        <v>1.7</v>
      </c>
      <c r="J22" s="24">
        <f>IF(H22="","",H22/'01_关键参数'!$C$5)</f>
        <v>6.5</v>
      </c>
      <c r="K22" s="19" t="s">
        <v>608</v>
      </c>
      <c r="L22" s="20">
        <v>31</v>
      </c>
      <c r="M22" s="20">
        <v>115</v>
      </c>
      <c r="N22" s="24">
        <f>IF(L22="","",L22/'01_关键参数'!$C$5)</f>
        <v>1.55</v>
      </c>
      <c r="O22" s="24">
        <f>IF(M22="","",M22/'01_关键参数'!$C$5)</f>
        <v>5.75</v>
      </c>
      <c r="P22" s="19" t="s">
        <v>609</v>
      </c>
      <c r="Q22" s="19" t="s">
        <v>601</v>
      </c>
    </row>
    <row r="23" ht="17" spans="1:17">
      <c r="A23" s="19" t="s">
        <v>580</v>
      </c>
      <c r="B23" s="19" t="s">
        <v>610</v>
      </c>
      <c r="C23" s="19" t="s">
        <v>611</v>
      </c>
      <c r="D23" s="19" t="s">
        <v>612</v>
      </c>
      <c r="E23" s="19" t="s">
        <v>613</v>
      </c>
      <c r="F23" s="19" t="s">
        <v>536</v>
      </c>
      <c r="G23" s="20">
        <v>20</v>
      </c>
      <c r="H23" s="20">
        <v>0</v>
      </c>
      <c r="I23" s="24">
        <f>IF(G23="","",G23/'01_关键参数'!$C$5)</f>
        <v>1</v>
      </c>
      <c r="J23" s="24">
        <f>IF(H23="","",H23/'01_关键参数'!$C$5)</f>
        <v>0</v>
      </c>
      <c r="K23" s="19" t="s">
        <v>614</v>
      </c>
      <c r="L23" s="20">
        <v>19</v>
      </c>
      <c r="M23" s="20">
        <v>0</v>
      </c>
      <c r="N23" s="24">
        <f>IF(L23="","",L23/'01_关键参数'!$C$5)</f>
        <v>0.95</v>
      </c>
      <c r="O23" s="24">
        <f>IF(M23="","",M23/'01_关键参数'!$C$5)</f>
        <v>0</v>
      </c>
      <c r="P23" s="19" t="s">
        <v>615</v>
      </c>
      <c r="Q23" s="19" t="s">
        <v>616</v>
      </c>
    </row>
    <row r="24" ht="34" spans="1:17">
      <c r="A24" s="19" t="s">
        <v>580</v>
      </c>
      <c r="B24" s="19" t="s">
        <v>610</v>
      </c>
      <c r="C24" s="19" t="s">
        <v>611</v>
      </c>
      <c r="D24" s="19" t="s">
        <v>617</v>
      </c>
      <c r="E24" s="19" t="s">
        <v>618</v>
      </c>
      <c r="F24" s="19" t="s">
        <v>619</v>
      </c>
      <c r="G24" s="20">
        <v>30</v>
      </c>
      <c r="H24" s="20">
        <v>100</v>
      </c>
      <c r="I24" s="24">
        <f>IF(G24="","",G24/'01_关键参数'!$C$5)</f>
        <v>1.5</v>
      </c>
      <c r="J24" s="24">
        <f>IF(H24="","",H24/'01_关键参数'!$C$5)</f>
        <v>5</v>
      </c>
      <c r="K24" s="19" t="s">
        <v>620</v>
      </c>
      <c r="L24" s="20">
        <v>28</v>
      </c>
      <c r="M24" s="20">
        <v>90</v>
      </c>
      <c r="N24" s="24">
        <f>IF(L24="","",L24/'01_关键参数'!$C$5)</f>
        <v>1.4</v>
      </c>
      <c r="O24" s="24">
        <f>IF(M24="","",M24/'01_关键参数'!$C$5)</f>
        <v>4.5</v>
      </c>
      <c r="P24" s="19" t="s">
        <v>621</v>
      </c>
      <c r="Q24" s="19" t="s">
        <v>616</v>
      </c>
    </row>
    <row r="25" ht="17" spans="1:17">
      <c r="A25" s="19" t="s">
        <v>580</v>
      </c>
      <c r="B25" s="19" t="s">
        <v>610</v>
      </c>
      <c r="C25" s="19" t="s">
        <v>611</v>
      </c>
      <c r="D25" s="19" t="s">
        <v>622</v>
      </c>
      <c r="E25" s="19" t="s">
        <v>623</v>
      </c>
      <c r="F25" s="19" t="s">
        <v>557</v>
      </c>
      <c r="G25" s="20">
        <v>33</v>
      </c>
      <c r="H25" s="20">
        <v>150</v>
      </c>
      <c r="I25" s="24">
        <f>IF(G25="","",G25/'01_关键参数'!$C$5)</f>
        <v>1.65</v>
      </c>
      <c r="J25" s="24">
        <f>IF(H25="","",H25/'01_关键参数'!$C$5)</f>
        <v>7.5</v>
      </c>
      <c r="K25" s="19" t="s">
        <v>624</v>
      </c>
      <c r="L25" s="20">
        <v>31</v>
      </c>
      <c r="M25" s="20">
        <v>130</v>
      </c>
      <c r="N25" s="24">
        <f>IF(L25="","",L25/'01_关键参数'!$C$5)</f>
        <v>1.55</v>
      </c>
      <c r="O25" s="24">
        <f>IF(M25="","",M25/'01_关键参数'!$C$5)</f>
        <v>6.5</v>
      </c>
      <c r="P25" s="19" t="s">
        <v>625</v>
      </c>
      <c r="Q25" s="19" t="s">
        <v>616</v>
      </c>
    </row>
    <row r="26" ht="17" spans="1:17">
      <c r="A26" s="19" t="s">
        <v>580</v>
      </c>
      <c r="B26" s="19" t="s">
        <v>610</v>
      </c>
      <c r="C26" s="19" t="s">
        <v>626</v>
      </c>
      <c r="D26" s="19" t="s">
        <v>627</v>
      </c>
      <c r="E26" s="19" t="s">
        <v>628</v>
      </c>
      <c r="F26" s="19" t="s">
        <v>536</v>
      </c>
      <c r="G26" s="20">
        <v>22</v>
      </c>
      <c r="H26" s="20">
        <v>0</v>
      </c>
      <c r="I26" s="24">
        <f>IF(G26="","",G26/'01_关键参数'!$C$5)</f>
        <v>1.1</v>
      </c>
      <c r="J26" s="24">
        <f>IF(H26="","",H26/'01_关键参数'!$C$5)</f>
        <v>0</v>
      </c>
      <c r="K26" s="19" t="s">
        <v>629</v>
      </c>
      <c r="L26" s="20">
        <v>21</v>
      </c>
      <c r="M26" s="20">
        <v>0</v>
      </c>
      <c r="N26" s="24">
        <f>IF(L26="","",L26/'01_关键参数'!$C$5)</f>
        <v>1.05</v>
      </c>
      <c r="O26" s="24">
        <f>IF(M26="","",M26/'01_关键参数'!$C$5)</f>
        <v>0</v>
      </c>
      <c r="P26" s="19" t="s">
        <v>630</v>
      </c>
      <c r="Q26" s="19" t="s">
        <v>631</v>
      </c>
    </row>
    <row r="27" ht="17" spans="1:17">
      <c r="A27" s="19" t="s">
        <v>580</v>
      </c>
      <c r="B27" s="19" t="s">
        <v>610</v>
      </c>
      <c r="C27" s="19" t="s">
        <v>626</v>
      </c>
      <c r="D27" s="19" t="s">
        <v>632</v>
      </c>
      <c r="E27" s="19" t="s">
        <v>633</v>
      </c>
      <c r="F27" s="19" t="s">
        <v>553</v>
      </c>
      <c r="G27" s="20">
        <v>34</v>
      </c>
      <c r="H27" s="20">
        <v>130</v>
      </c>
      <c r="I27" s="24">
        <f>IF(G27="","",G27/'01_关键参数'!$C$5)</f>
        <v>1.7</v>
      </c>
      <c r="J27" s="24">
        <f>IF(H27="","",H27/'01_关键参数'!$C$5)</f>
        <v>6.5</v>
      </c>
      <c r="K27" s="19" t="s">
        <v>634</v>
      </c>
      <c r="L27" s="20">
        <v>32</v>
      </c>
      <c r="M27" s="20">
        <v>115</v>
      </c>
      <c r="N27" s="24">
        <f>IF(L27="","",L27/'01_关键参数'!$C$5)</f>
        <v>1.6</v>
      </c>
      <c r="O27" s="24">
        <f>IF(M27="","",M27/'01_关键参数'!$C$5)</f>
        <v>5.75</v>
      </c>
      <c r="P27" s="19" t="s">
        <v>635</v>
      </c>
      <c r="Q27" s="19" t="s">
        <v>631</v>
      </c>
    </row>
    <row r="28" ht="34" spans="1:17">
      <c r="A28" s="19" t="s">
        <v>580</v>
      </c>
      <c r="B28" s="19" t="s">
        <v>610</v>
      </c>
      <c r="C28" s="19" t="s">
        <v>626</v>
      </c>
      <c r="D28" s="19" t="s">
        <v>636</v>
      </c>
      <c r="E28" s="19" t="s">
        <v>637</v>
      </c>
      <c r="F28" s="19" t="s">
        <v>638</v>
      </c>
      <c r="G28" s="20">
        <v>29</v>
      </c>
      <c r="H28" s="20">
        <v>110</v>
      </c>
      <c r="I28" s="24">
        <f>IF(G28="","",G28/'01_关键参数'!$C$5)</f>
        <v>1.45</v>
      </c>
      <c r="J28" s="24">
        <f>IF(H28="","",H28/'01_关键参数'!$C$5)</f>
        <v>5.5</v>
      </c>
      <c r="K28" s="19" t="s">
        <v>639</v>
      </c>
      <c r="L28" s="20">
        <v>27</v>
      </c>
      <c r="M28" s="20">
        <v>95</v>
      </c>
      <c r="N28" s="24">
        <f>IF(L28="","",L28/'01_关键参数'!$C$5)</f>
        <v>1.35</v>
      </c>
      <c r="O28" s="24">
        <f>IF(M28="","",M28/'01_关键参数'!$C$5)</f>
        <v>4.75</v>
      </c>
      <c r="P28" s="19" t="s">
        <v>640</v>
      </c>
      <c r="Q28" s="19" t="s">
        <v>631</v>
      </c>
    </row>
    <row r="29" ht="17" spans="1:17">
      <c r="A29" s="19" t="s">
        <v>580</v>
      </c>
      <c r="B29" s="19" t="s">
        <v>641</v>
      </c>
      <c r="C29" s="19" t="s">
        <v>642</v>
      </c>
      <c r="D29" s="19" t="s">
        <v>643</v>
      </c>
      <c r="E29" s="19" t="s">
        <v>644</v>
      </c>
      <c r="F29" s="19" t="s">
        <v>536</v>
      </c>
      <c r="G29" s="20">
        <v>23</v>
      </c>
      <c r="H29" s="20">
        <v>0</v>
      </c>
      <c r="I29" s="24">
        <f>IF(G29="","",G29/'01_关键参数'!$C$5)</f>
        <v>1.15</v>
      </c>
      <c r="J29" s="24">
        <f>IF(H29="","",H29/'01_关键参数'!$C$5)</f>
        <v>0</v>
      </c>
      <c r="K29" s="19" t="s">
        <v>645</v>
      </c>
      <c r="L29" s="20">
        <v>22</v>
      </c>
      <c r="M29" s="20">
        <v>0</v>
      </c>
      <c r="N29" s="24">
        <f>IF(L29="","",L29/'01_关键参数'!$C$5)</f>
        <v>1.1</v>
      </c>
      <c r="O29" s="24">
        <f>IF(M29="","",M29/'01_关键参数'!$C$5)</f>
        <v>0</v>
      </c>
      <c r="P29" s="19" t="s">
        <v>646</v>
      </c>
      <c r="Q29" s="19" t="s">
        <v>647</v>
      </c>
    </row>
    <row r="30" ht="17" spans="1:17">
      <c r="A30" s="19" t="s">
        <v>580</v>
      </c>
      <c r="B30" s="19" t="s">
        <v>641</v>
      </c>
      <c r="C30" s="19" t="s">
        <v>642</v>
      </c>
      <c r="D30" s="19" t="s">
        <v>648</v>
      </c>
      <c r="E30" s="19" t="s">
        <v>649</v>
      </c>
      <c r="F30" s="19" t="s">
        <v>553</v>
      </c>
      <c r="G30" s="20">
        <v>35</v>
      </c>
      <c r="H30" s="20">
        <v>140</v>
      </c>
      <c r="I30" s="24">
        <f>IF(G30="","",G30/'01_关键参数'!$C$5)</f>
        <v>1.75</v>
      </c>
      <c r="J30" s="24">
        <f>IF(H30="","",H30/'01_关键参数'!$C$5)</f>
        <v>7</v>
      </c>
      <c r="K30" s="19" t="s">
        <v>650</v>
      </c>
      <c r="L30" s="20">
        <v>33</v>
      </c>
      <c r="M30" s="20">
        <v>120</v>
      </c>
      <c r="N30" s="24">
        <f>IF(L30="","",L30/'01_关键参数'!$C$5)</f>
        <v>1.65</v>
      </c>
      <c r="O30" s="24">
        <f>IF(M30="","",M30/'01_关键参数'!$C$5)</f>
        <v>6</v>
      </c>
      <c r="P30" s="19" t="s">
        <v>651</v>
      </c>
      <c r="Q30" s="19" t="s">
        <v>647</v>
      </c>
    </row>
    <row r="31" ht="17" spans="1:17">
      <c r="A31" s="19" t="s">
        <v>580</v>
      </c>
      <c r="B31" s="19" t="s">
        <v>641</v>
      </c>
      <c r="C31" s="19" t="s">
        <v>642</v>
      </c>
      <c r="D31" s="19" t="s">
        <v>652</v>
      </c>
      <c r="E31" s="19" t="s">
        <v>653</v>
      </c>
      <c r="F31" s="19" t="s">
        <v>557</v>
      </c>
      <c r="G31" s="20">
        <v>32</v>
      </c>
      <c r="H31" s="20">
        <v>150</v>
      </c>
      <c r="I31" s="24">
        <f>IF(G31="","",G31/'01_关键参数'!$C$5)</f>
        <v>1.6</v>
      </c>
      <c r="J31" s="24">
        <f>IF(H31="","",H31/'01_关键参数'!$C$5)</f>
        <v>7.5</v>
      </c>
      <c r="K31" s="19" t="s">
        <v>654</v>
      </c>
      <c r="L31" s="20">
        <v>30</v>
      </c>
      <c r="M31" s="20">
        <v>130</v>
      </c>
      <c r="N31" s="24">
        <f>IF(L31="","",L31/'01_关键参数'!$C$5)</f>
        <v>1.5</v>
      </c>
      <c r="O31" s="24">
        <f>IF(M31="","",M31/'01_关键参数'!$C$5)</f>
        <v>6.5</v>
      </c>
      <c r="P31" s="19" t="s">
        <v>655</v>
      </c>
      <c r="Q31" s="19" t="s">
        <v>647</v>
      </c>
    </row>
    <row r="32" ht="17" spans="1:17">
      <c r="A32" s="19" t="s">
        <v>580</v>
      </c>
      <c r="B32" s="19" t="s">
        <v>641</v>
      </c>
      <c r="C32" s="19" t="s">
        <v>656</v>
      </c>
      <c r="D32" s="19" t="s">
        <v>657</v>
      </c>
      <c r="E32" s="19" t="s">
        <v>658</v>
      </c>
      <c r="F32" s="19" t="s">
        <v>536</v>
      </c>
      <c r="G32" s="20">
        <v>22</v>
      </c>
      <c r="H32" s="20">
        <v>0</v>
      </c>
      <c r="I32" s="24">
        <f>IF(G32="","",G32/'01_关键参数'!$C$5)</f>
        <v>1.1</v>
      </c>
      <c r="J32" s="24">
        <f>IF(H32="","",H32/'01_关键参数'!$C$5)</f>
        <v>0</v>
      </c>
      <c r="K32" s="19" t="s">
        <v>659</v>
      </c>
      <c r="L32" s="20">
        <v>21</v>
      </c>
      <c r="M32" s="20">
        <v>0</v>
      </c>
      <c r="N32" s="24">
        <f>IF(L32="","",L32/'01_关键参数'!$C$5)</f>
        <v>1.05</v>
      </c>
      <c r="O32" s="24">
        <f>IF(M32="","",M32/'01_关键参数'!$C$5)</f>
        <v>0</v>
      </c>
      <c r="P32" s="19" t="s">
        <v>660</v>
      </c>
      <c r="Q32" s="19" t="s">
        <v>661</v>
      </c>
    </row>
    <row r="33" ht="17" spans="1:17">
      <c r="A33" s="19" t="s">
        <v>580</v>
      </c>
      <c r="B33" s="19" t="s">
        <v>641</v>
      </c>
      <c r="C33" s="19" t="s">
        <v>656</v>
      </c>
      <c r="D33" s="19" t="s">
        <v>662</v>
      </c>
      <c r="E33" s="19" t="s">
        <v>663</v>
      </c>
      <c r="F33" s="19" t="s">
        <v>664</v>
      </c>
      <c r="G33" s="20">
        <v>30</v>
      </c>
      <c r="H33" s="20">
        <v>120</v>
      </c>
      <c r="I33" s="24">
        <f>IF(G33="","",G33/'01_关键参数'!$C$5)</f>
        <v>1.5</v>
      </c>
      <c r="J33" s="24">
        <f>IF(H33="","",H33/'01_关键参数'!$C$5)</f>
        <v>6</v>
      </c>
      <c r="K33" s="19" t="s">
        <v>665</v>
      </c>
      <c r="L33" s="20">
        <v>28</v>
      </c>
      <c r="M33" s="20">
        <v>105</v>
      </c>
      <c r="N33" s="24">
        <f>IF(L33="","",L33/'01_关键参数'!$C$5)</f>
        <v>1.4</v>
      </c>
      <c r="O33" s="24">
        <f>IF(M33="","",M33/'01_关键参数'!$C$5)</f>
        <v>5.25</v>
      </c>
      <c r="P33" s="19" t="s">
        <v>666</v>
      </c>
      <c r="Q33" s="19" t="s">
        <v>661</v>
      </c>
    </row>
    <row r="34" ht="34" spans="1:17">
      <c r="A34" s="19" t="s">
        <v>580</v>
      </c>
      <c r="B34" s="19" t="s">
        <v>641</v>
      </c>
      <c r="C34" s="19" t="s">
        <v>656</v>
      </c>
      <c r="D34" s="19" t="s">
        <v>667</v>
      </c>
      <c r="E34" s="19" t="s">
        <v>668</v>
      </c>
      <c r="F34" s="19" t="s">
        <v>669</v>
      </c>
      <c r="G34" s="20">
        <v>34</v>
      </c>
      <c r="H34" s="20">
        <v>180</v>
      </c>
      <c r="I34" s="24">
        <f>IF(G34="","",G34/'01_关键参数'!$C$5)</f>
        <v>1.7</v>
      </c>
      <c r="J34" s="24">
        <f>IF(H34="","",H34/'01_关键参数'!$C$5)</f>
        <v>9</v>
      </c>
      <c r="K34" s="19" t="s">
        <v>670</v>
      </c>
      <c r="L34" s="20">
        <v>32</v>
      </c>
      <c r="M34" s="20">
        <v>160</v>
      </c>
      <c r="N34" s="24">
        <f>IF(L34="","",L34/'01_关键参数'!$C$5)</f>
        <v>1.6</v>
      </c>
      <c r="O34" s="24">
        <f>IF(M34="","",M34/'01_关键参数'!$C$5)</f>
        <v>8</v>
      </c>
      <c r="P34" s="19" t="s">
        <v>671</v>
      </c>
      <c r="Q34" s="19" t="s">
        <v>661</v>
      </c>
    </row>
    <row r="35" ht="17" spans="1:17">
      <c r="A35" s="19" t="s">
        <v>580</v>
      </c>
      <c r="B35" s="19" t="s">
        <v>672</v>
      </c>
      <c r="C35" s="19" t="s">
        <v>673</v>
      </c>
      <c r="D35" s="19" t="s">
        <v>674</v>
      </c>
      <c r="E35" s="19" t="s">
        <v>675</v>
      </c>
      <c r="F35" s="19" t="s">
        <v>536</v>
      </c>
      <c r="G35" s="20">
        <v>17</v>
      </c>
      <c r="H35" s="20">
        <v>0</v>
      </c>
      <c r="I35" s="24">
        <f>IF(G35="","",G35/'01_关键参数'!$C$5)</f>
        <v>0.85</v>
      </c>
      <c r="J35" s="24">
        <f>IF(H35="","",H35/'01_关键参数'!$C$5)</f>
        <v>0</v>
      </c>
      <c r="K35" s="19" t="s">
        <v>676</v>
      </c>
      <c r="L35" s="20">
        <v>15</v>
      </c>
      <c r="M35" s="20">
        <v>0</v>
      </c>
      <c r="N35" s="24">
        <f>IF(L35="","",L35/'01_关键参数'!$C$5)</f>
        <v>0.75</v>
      </c>
      <c r="O35" s="24">
        <f>IF(M35="","",M35/'01_关键参数'!$C$5)</f>
        <v>0</v>
      </c>
      <c r="P35" s="19" t="s">
        <v>677</v>
      </c>
      <c r="Q35" s="19" t="s">
        <v>678</v>
      </c>
    </row>
    <row r="36" ht="17" spans="1:17">
      <c r="A36" s="19" t="s">
        <v>580</v>
      </c>
      <c r="B36" s="19" t="s">
        <v>672</v>
      </c>
      <c r="C36" s="19" t="s">
        <v>673</v>
      </c>
      <c r="D36" s="19" t="s">
        <v>679</v>
      </c>
      <c r="E36" s="19" t="s">
        <v>680</v>
      </c>
      <c r="F36" s="19" t="s">
        <v>536</v>
      </c>
      <c r="G36" s="20">
        <v>22</v>
      </c>
      <c r="H36" s="20">
        <v>80</v>
      </c>
      <c r="I36" s="24">
        <f>IF(G36="","",G36/'01_关键参数'!$C$5)</f>
        <v>1.1</v>
      </c>
      <c r="J36" s="24">
        <f>IF(H36="","",H36/'01_关键参数'!$C$5)</f>
        <v>4</v>
      </c>
      <c r="K36" s="19" t="s">
        <v>681</v>
      </c>
      <c r="L36" s="20">
        <v>20</v>
      </c>
      <c r="M36" s="20">
        <v>70</v>
      </c>
      <c r="N36" s="24">
        <f>IF(L36="","",L36/'01_关键参数'!$C$5)</f>
        <v>1</v>
      </c>
      <c r="O36" s="24">
        <f>IF(M36="","",M36/'01_关键参数'!$C$5)</f>
        <v>3.5</v>
      </c>
      <c r="P36" s="19" t="s">
        <v>682</v>
      </c>
      <c r="Q36" s="19" t="s">
        <v>678</v>
      </c>
    </row>
    <row r="37" ht="17" spans="1:17">
      <c r="A37" s="19" t="s">
        <v>580</v>
      </c>
      <c r="B37" s="19" t="s">
        <v>672</v>
      </c>
      <c r="C37" s="19" t="s">
        <v>673</v>
      </c>
      <c r="D37" s="19" t="s">
        <v>683</v>
      </c>
      <c r="E37" s="19" t="s">
        <v>684</v>
      </c>
      <c r="F37" s="19" t="s">
        <v>536</v>
      </c>
      <c r="G37" s="20">
        <v>24</v>
      </c>
      <c r="H37" s="20">
        <v>100</v>
      </c>
      <c r="I37" s="24">
        <f>IF(G37="","",G37/'01_关键参数'!$C$5)</f>
        <v>1.2</v>
      </c>
      <c r="J37" s="24">
        <f>IF(H37="","",H37/'01_关键参数'!$C$5)</f>
        <v>5</v>
      </c>
      <c r="K37" s="19" t="s">
        <v>685</v>
      </c>
      <c r="L37" s="20">
        <v>22</v>
      </c>
      <c r="M37" s="20">
        <v>85</v>
      </c>
      <c r="N37" s="24">
        <f>IF(L37="","",L37/'01_关键参数'!$C$5)</f>
        <v>1.1</v>
      </c>
      <c r="O37" s="24">
        <f>IF(M37="","",M37/'01_关键参数'!$C$5)</f>
        <v>4.25</v>
      </c>
      <c r="P37" s="19" t="s">
        <v>686</v>
      </c>
      <c r="Q37" s="19" t="s">
        <v>678</v>
      </c>
    </row>
    <row r="38" ht="17" spans="1:17">
      <c r="A38" s="19" t="s">
        <v>580</v>
      </c>
      <c r="B38" s="19" t="s">
        <v>672</v>
      </c>
      <c r="C38" s="19" t="s">
        <v>687</v>
      </c>
      <c r="D38" s="19" t="s">
        <v>688</v>
      </c>
      <c r="E38" s="19" t="s">
        <v>689</v>
      </c>
      <c r="F38" s="19" t="s">
        <v>536</v>
      </c>
      <c r="G38" s="20">
        <v>34</v>
      </c>
      <c r="H38" s="20">
        <v>0</v>
      </c>
      <c r="I38" s="24">
        <f>IF(G38="","",G38/'01_关键参数'!$C$5)</f>
        <v>1.7</v>
      </c>
      <c r="J38" s="24">
        <f>IF(H38="","",H38/'01_关键参数'!$C$5)</f>
        <v>0</v>
      </c>
      <c r="K38" s="19" t="s">
        <v>690</v>
      </c>
      <c r="L38" s="20">
        <v>32</v>
      </c>
      <c r="M38" s="20">
        <v>0</v>
      </c>
      <c r="N38" s="24">
        <f>IF(L38="","",L38/'01_关键参数'!$C$5)</f>
        <v>1.6</v>
      </c>
      <c r="O38" s="24">
        <f>IF(M38="","",M38/'01_关键参数'!$C$5)</f>
        <v>0</v>
      </c>
      <c r="P38" s="19" t="s">
        <v>691</v>
      </c>
      <c r="Q38" s="19" t="s">
        <v>692</v>
      </c>
    </row>
    <row r="39" ht="17" spans="1:17">
      <c r="A39" s="19" t="s">
        <v>580</v>
      </c>
      <c r="B39" s="19" t="s">
        <v>672</v>
      </c>
      <c r="C39" s="19" t="s">
        <v>687</v>
      </c>
      <c r="D39" s="19" t="s">
        <v>693</v>
      </c>
      <c r="E39" s="19" t="s">
        <v>694</v>
      </c>
      <c r="F39" s="19" t="s">
        <v>536</v>
      </c>
      <c r="G39" s="20">
        <v>28</v>
      </c>
      <c r="H39" s="20">
        <v>80</v>
      </c>
      <c r="I39" s="24">
        <f>IF(G39="","",G39/'01_关键参数'!$C$5)</f>
        <v>1.4</v>
      </c>
      <c r="J39" s="24">
        <f>IF(H39="","",H39/'01_关键参数'!$C$5)</f>
        <v>4</v>
      </c>
      <c r="K39" s="19" t="s">
        <v>695</v>
      </c>
      <c r="L39" s="20">
        <v>27</v>
      </c>
      <c r="M39" s="20">
        <v>70</v>
      </c>
      <c r="N39" s="24">
        <f>IF(L39="","",L39/'01_关键参数'!$C$5)</f>
        <v>1.35</v>
      </c>
      <c r="O39" s="24">
        <f>IF(M39="","",M39/'01_关键参数'!$C$5)</f>
        <v>3.5</v>
      </c>
      <c r="P39" s="19" t="s">
        <v>696</v>
      </c>
      <c r="Q39" s="19" t="s">
        <v>692</v>
      </c>
    </row>
    <row r="40" ht="17" spans="1:17">
      <c r="A40" s="19" t="s">
        <v>580</v>
      </c>
      <c r="B40" s="19" t="s">
        <v>672</v>
      </c>
      <c r="C40" s="19" t="s">
        <v>687</v>
      </c>
      <c r="D40" s="19" t="s">
        <v>697</v>
      </c>
      <c r="E40" s="19" t="s">
        <v>698</v>
      </c>
      <c r="F40" s="19" t="s">
        <v>553</v>
      </c>
      <c r="G40" s="20">
        <v>38</v>
      </c>
      <c r="H40" s="20">
        <v>140</v>
      </c>
      <c r="I40" s="24">
        <f>IF(G40="","",G40/'01_关键参数'!$C$5)</f>
        <v>1.9</v>
      </c>
      <c r="J40" s="24">
        <f>IF(H40="","",H40/'01_关键参数'!$C$5)</f>
        <v>7</v>
      </c>
      <c r="K40" s="19" t="s">
        <v>699</v>
      </c>
      <c r="L40" s="20">
        <v>36</v>
      </c>
      <c r="M40" s="20">
        <v>120</v>
      </c>
      <c r="N40" s="24">
        <f>IF(L40="","",L40/'01_关键参数'!$C$5)</f>
        <v>1.8</v>
      </c>
      <c r="O40" s="24">
        <f>IF(M40="","",M40/'01_关键参数'!$C$5)</f>
        <v>6</v>
      </c>
      <c r="P40" s="19" t="s">
        <v>700</v>
      </c>
      <c r="Q40" s="19" t="s">
        <v>692</v>
      </c>
    </row>
    <row r="43" ht="22" customHeight="1" spans="1:4">
      <c r="A43" s="5" t="s">
        <v>701</v>
      </c>
      <c r="B43" s="5"/>
      <c r="C43" s="5"/>
      <c r="D43" s="5"/>
    </row>
    <row r="44" spans="1:4">
      <c r="A44" s="6" t="s">
        <v>702</v>
      </c>
      <c r="B44" s="6"/>
      <c r="C44" s="6"/>
      <c r="D44" s="6"/>
    </row>
    <row r="45" ht="17" spans="1:4">
      <c r="A45" s="3" t="s">
        <v>703</v>
      </c>
      <c r="B45" s="3" t="s">
        <v>704</v>
      </c>
      <c r="C45" s="3" t="s">
        <v>705</v>
      </c>
      <c r="D45" s="3" t="s">
        <v>706</v>
      </c>
    </row>
    <row r="46" ht="34" spans="1:4">
      <c r="A46" s="7" t="s">
        <v>707</v>
      </c>
      <c r="B46" s="7" t="s">
        <v>708</v>
      </c>
      <c r="C46" s="7" t="s">
        <v>709</v>
      </c>
      <c r="D46" s="7" t="s">
        <v>710</v>
      </c>
    </row>
    <row r="47" ht="17" spans="1:4">
      <c r="A47" s="10" t="s">
        <v>711</v>
      </c>
      <c r="B47" s="10" t="s">
        <v>712</v>
      </c>
      <c r="C47" s="10" t="s">
        <v>713</v>
      </c>
      <c r="D47" s="10" t="s">
        <v>714</v>
      </c>
    </row>
    <row r="48" ht="17" spans="1:4">
      <c r="A48" s="10" t="s">
        <v>715</v>
      </c>
      <c r="B48" s="10" t="s">
        <v>716</v>
      </c>
      <c r="C48" s="10" t="s">
        <v>717</v>
      </c>
      <c r="D48" s="10" t="s">
        <v>718</v>
      </c>
    </row>
    <row r="49" ht="17" spans="1:4">
      <c r="A49" s="10" t="s">
        <v>719</v>
      </c>
      <c r="B49" s="10" t="s">
        <v>720</v>
      </c>
      <c r="C49" s="10" t="s">
        <v>721</v>
      </c>
      <c r="D49" s="10" t="s">
        <v>722</v>
      </c>
    </row>
    <row r="50" ht="17" spans="1:4">
      <c r="A50" s="10" t="s">
        <v>723</v>
      </c>
      <c r="B50" s="10" t="s">
        <v>724</v>
      </c>
      <c r="C50" s="10" t="s">
        <v>725</v>
      </c>
      <c r="D50" s="10" t="s">
        <v>726</v>
      </c>
    </row>
    <row r="51" ht="34" spans="1:4">
      <c r="A51" s="10" t="s">
        <v>727</v>
      </c>
      <c r="B51" s="10" t="s">
        <v>728</v>
      </c>
      <c r="C51" s="10" t="s">
        <v>729</v>
      </c>
      <c r="D51" s="10" t="s">
        <v>730</v>
      </c>
    </row>
  </sheetData>
  <mergeCells count="4">
    <mergeCell ref="A1:Q1"/>
    <mergeCell ref="A2:Q2"/>
    <mergeCell ref="A43:D43"/>
    <mergeCell ref="A44:D44"/>
  </mergeCells>
  <pageMargins left="0.7" right="0.7" top="0.75" bottom="0.75" header="0.3" footer="0.3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8"/>
  <sheetViews>
    <sheetView showGridLines="0" workbookViewId="0">
      <selection activeCell="A1" sqref="A1:I1"/>
    </sheetView>
  </sheetViews>
  <sheetFormatPr defaultColWidth="9" defaultRowHeight="16.8"/>
  <cols>
    <col min="1" max="1" width="30" customWidth="1"/>
    <col min="2" max="2" width="25" customWidth="1"/>
    <col min="3" max="3" width="20" customWidth="1"/>
    <col min="4" max="8" width="16" customWidth="1"/>
    <col min="9" max="9" width="52" customWidth="1"/>
  </cols>
  <sheetData>
    <row r="1" ht="30" customHeight="1" spans="1:9">
      <c r="A1" s="1" t="s">
        <v>731</v>
      </c>
      <c r="B1" s="1"/>
      <c r="C1" s="1"/>
      <c r="D1" s="1"/>
      <c r="E1" s="1"/>
      <c r="F1" s="1"/>
      <c r="G1" s="1"/>
      <c r="H1" s="1"/>
      <c r="I1" s="1"/>
    </row>
    <row r="2" ht="30" customHeight="1" spans="1:9">
      <c r="A2" s="2" t="s">
        <v>732</v>
      </c>
      <c r="B2" s="2"/>
      <c r="C2" s="2"/>
      <c r="D2" s="2"/>
      <c r="E2" s="2"/>
      <c r="F2" s="2"/>
      <c r="G2" s="2"/>
      <c r="H2" s="2"/>
      <c r="I2" s="2"/>
    </row>
    <row r="4" ht="22" customHeight="1" spans="1:5">
      <c r="A4" s="5" t="s">
        <v>733</v>
      </c>
      <c r="B4" s="5"/>
      <c r="C4" s="5"/>
      <c r="D4" s="5"/>
      <c r="E4" s="5"/>
    </row>
    <row r="5" spans="1:5">
      <c r="A5" s="6" t="s">
        <v>734</v>
      </c>
      <c r="B5" s="6"/>
      <c r="C5" s="6"/>
      <c r="D5" s="6"/>
      <c r="E5" s="6"/>
    </row>
    <row r="6" ht="17" spans="1:2">
      <c r="A6" s="3" t="s">
        <v>735</v>
      </c>
      <c r="B6" s="3" t="s">
        <v>736</v>
      </c>
    </row>
    <row r="7" ht="17" spans="1:2">
      <c r="A7" s="7" t="s">
        <v>737</v>
      </c>
      <c r="B7" s="22">
        <v>1</v>
      </c>
    </row>
    <row r="8" ht="17" spans="1:2">
      <c r="A8" s="10" t="s">
        <v>738</v>
      </c>
      <c r="B8" s="23">
        <v>1.2</v>
      </c>
    </row>
    <row r="9" ht="17" spans="1:2">
      <c r="A9" s="10" t="s">
        <v>739</v>
      </c>
      <c r="B9" s="23">
        <v>1.45</v>
      </c>
    </row>
    <row r="10" ht="17" spans="1:2">
      <c r="A10" s="10" t="s">
        <v>740</v>
      </c>
      <c r="B10" s="23">
        <v>1.75</v>
      </c>
    </row>
    <row r="11" ht="17" spans="1:2">
      <c r="A11" s="10" t="s">
        <v>741</v>
      </c>
      <c r="B11" s="23">
        <v>2.1</v>
      </c>
    </row>
    <row r="13" ht="22" customHeight="1" spans="1:8">
      <c r="A13" s="5" t="s">
        <v>742</v>
      </c>
      <c r="B13" s="5"/>
      <c r="C13" s="5"/>
      <c r="D13" s="5"/>
      <c r="E13" s="5"/>
      <c r="F13" s="5"/>
      <c r="G13" s="5"/>
      <c r="H13" s="5"/>
    </row>
    <row r="14" spans="1:8">
      <c r="A14" s="6" t="s">
        <v>743</v>
      </c>
      <c r="B14" s="6"/>
      <c r="C14" s="6"/>
      <c r="D14" s="6"/>
      <c r="E14" s="6"/>
      <c r="F14" s="6"/>
      <c r="G14" s="6"/>
      <c r="H14" s="6"/>
    </row>
    <row r="15" ht="17" spans="1:8">
      <c r="A15" s="3" t="s">
        <v>744</v>
      </c>
      <c r="B15" s="3" t="s">
        <v>745</v>
      </c>
      <c r="C15" s="3" t="s">
        <v>746</v>
      </c>
      <c r="D15" s="3" t="s">
        <v>737</v>
      </c>
      <c r="E15" s="3" t="s">
        <v>738</v>
      </c>
      <c r="F15" s="3" t="s">
        <v>739</v>
      </c>
      <c r="G15" s="3" t="s">
        <v>740</v>
      </c>
      <c r="H15" s="3" t="s">
        <v>741</v>
      </c>
    </row>
    <row r="16" spans="1:8">
      <c r="A16" t="s">
        <v>747</v>
      </c>
      <c r="B16" t="s">
        <v>748</v>
      </c>
      <c r="C16" s="4">
        <v>12</v>
      </c>
      <c r="D16" s="16">
        <f t="shared" ref="D16:D30" si="0">INT($C16*$B$7)</f>
        <v>12</v>
      </c>
      <c r="E16" s="16">
        <f t="shared" ref="E16:E30" si="1">INT($C16*$B$8)</f>
        <v>14</v>
      </c>
      <c r="F16" s="16">
        <f t="shared" ref="F16:F30" si="2">INT($C16*$B$9)</f>
        <v>17</v>
      </c>
      <c r="G16" s="16">
        <f t="shared" ref="G16:G30" si="3">INT($C16*$B$10)</f>
        <v>21</v>
      </c>
      <c r="H16" s="16">
        <f t="shared" ref="H16:H30" si="4">INT($C16*$B$11)</f>
        <v>25</v>
      </c>
    </row>
    <row r="17" spans="1:8">
      <c r="A17" t="s">
        <v>747</v>
      </c>
      <c r="B17" t="s">
        <v>749</v>
      </c>
      <c r="C17" s="4">
        <v>10</v>
      </c>
      <c r="D17" s="16">
        <f t="shared" si="0"/>
        <v>10</v>
      </c>
      <c r="E17" s="16">
        <f t="shared" si="1"/>
        <v>12</v>
      </c>
      <c r="F17" s="16">
        <f t="shared" si="2"/>
        <v>14</v>
      </c>
      <c r="G17" s="16">
        <f t="shared" si="3"/>
        <v>17</v>
      </c>
      <c r="H17" s="16">
        <f t="shared" si="4"/>
        <v>21</v>
      </c>
    </row>
    <row r="18" spans="1:8">
      <c r="A18" t="s">
        <v>747</v>
      </c>
      <c r="B18" t="s">
        <v>750</v>
      </c>
      <c r="C18" s="4">
        <v>8</v>
      </c>
      <c r="D18" s="16">
        <f t="shared" si="0"/>
        <v>8</v>
      </c>
      <c r="E18" s="16">
        <f t="shared" si="1"/>
        <v>9</v>
      </c>
      <c r="F18" s="16">
        <f t="shared" si="2"/>
        <v>11</v>
      </c>
      <c r="G18" s="16">
        <f t="shared" si="3"/>
        <v>14</v>
      </c>
      <c r="H18" s="16">
        <f t="shared" si="4"/>
        <v>16</v>
      </c>
    </row>
    <row r="19" spans="1:8">
      <c r="A19" t="s">
        <v>751</v>
      </c>
      <c r="B19" t="s">
        <v>748</v>
      </c>
      <c r="C19" s="4">
        <v>18</v>
      </c>
      <c r="D19" s="16">
        <f t="shared" si="0"/>
        <v>18</v>
      </c>
      <c r="E19" s="16">
        <f t="shared" si="1"/>
        <v>21</v>
      </c>
      <c r="F19" s="16">
        <f t="shared" si="2"/>
        <v>26</v>
      </c>
      <c r="G19" s="16">
        <f t="shared" si="3"/>
        <v>31</v>
      </c>
      <c r="H19" s="16">
        <f t="shared" si="4"/>
        <v>37</v>
      </c>
    </row>
    <row r="20" spans="1:8">
      <c r="A20" t="s">
        <v>751</v>
      </c>
      <c r="B20" t="s">
        <v>749</v>
      </c>
      <c r="C20" s="4">
        <v>16</v>
      </c>
      <c r="D20" s="16">
        <f t="shared" si="0"/>
        <v>16</v>
      </c>
      <c r="E20" s="16">
        <f t="shared" si="1"/>
        <v>19</v>
      </c>
      <c r="F20" s="16">
        <f t="shared" si="2"/>
        <v>23</v>
      </c>
      <c r="G20" s="16">
        <f t="shared" si="3"/>
        <v>28</v>
      </c>
      <c r="H20" s="16">
        <f t="shared" si="4"/>
        <v>33</v>
      </c>
    </row>
    <row r="21" spans="1:8">
      <c r="A21" t="s">
        <v>751</v>
      </c>
      <c r="B21" t="s">
        <v>750</v>
      </c>
      <c r="C21" s="4">
        <v>12</v>
      </c>
      <c r="D21" s="16">
        <f t="shared" si="0"/>
        <v>12</v>
      </c>
      <c r="E21" s="16">
        <f t="shared" si="1"/>
        <v>14</v>
      </c>
      <c r="F21" s="16">
        <f t="shared" si="2"/>
        <v>17</v>
      </c>
      <c r="G21" s="16">
        <f t="shared" si="3"/>
        <v>21</v>
      </c>
      <c r="H21" s="16">
        <f t="shared" si="4"/>
        <v>25</v>
      </c>
    </row>
    <row r="22" spans="1:8">
      <c r="A22" t="s">
        <v>752</v>
      </c>
      <c r="B22" t="s">
        <v>748</v>
      </c>
      <c r="C22" s="4">
        <v>24</v>
      </c>
      <c r="D22" s="16">
        <f t="shared" si="0"/>
        <v>24</v>
      </c>
      <c r="E22" s="16">
        <f t="shared" si="1"/>
        <v>28</v>
      </c>
      <c r="F22" s="16">
        <f t="shared" si="2"/>
        <v>34</v>
      </c>
      <c r="G22" s="16">
        <f t="shared" si="3"/>
        <v>42</v>
      </c>
      <c r="H22" s="16">
        <f t="shared" si="4"/>
        <v>50</v>
      </c>
    </row>
    <row r="23" spans="1:8">
      <c r="A23" t="s">
        <v>752</v>
      </c>
      <c r="B23" t="s">
        <v>749</v>
      </c>
      <c r="C23" s="4">
        <v>22</v>
      </c>
      <c r="D23" s="16">
        <f t="shared" si="0"/>
        <v>22</v>
      </c>
      <c r="E23" s="16">
        <f t="shared" si="1"/>
        <v>26</v>
      </c>
      <c r="F23" s="16">
        <f t="shared" si="2"/>
        <v>31</v>
      </c>
      <c r="G23" s="16">
        <f t="shared" si="3"/>
        <v>38</v>
      </c>
      <c r="H23" s="16">
        <f t="shared" si="4"/>
        <v>46</v>
      </c>
    </row>
    <row r="24" spans="1:8">
      <c r="A24" t="s">
        <v>752</v>
      </c>
      <c r="B24" t="s">
        <v>750</v>
      </c>
      <c r="C24" s="4">
        <v>16</v>
      </c>
      <c r="D24" s="16">
        <f t="shared" si="0"/>
        <v>16</v>
      </c>
      <c r="E24" s="16">
        <f t="shared" si="1"/>
        <v>19</v>
      </c>
      <c r="F24" s="16">
        <f t="shared" si="2"/>
        <v>23</v>
      </c>
      <c r="G24" s="16">
        <f t="shared" si="3"/>
        <v>28</v>
      </c>
      <c r="H24" s="16">
        <f t="shared" si="4"/>
        <v>33</v>
      </c>
    </row>
    <row r="25" spans="1:8">
      <c r="A25" t="s">
        <v>753</v>
      </c>
      <c r="B25" t="s">
        <v>748</v>
      </c>
      <c r="C25" s="4">
        <v>32</v>
      </c>
      <c r="D25" s="16">
        <f t="shared" si="0"/>
        <v>32</v>
      </c>
      <c r="E25" s="16">
        <f t="shared" si="1"/>
        <v>38</v>
      </c>
      <c r="F25" s="16">
        <f t="shared" si="2"/>
        <v>46</v>
      </c>
      <c r="G25" s="16">
        <f t="shared" si="3"/>
        <v>56</v>
      </c>
      <c r="H25" s="16">
        <f t="shared" si="4"/>
        <v>67</v>
      </c>
    </row>
    <row r="26" spans="1:8">
      <c r="A26" t="s">
        <v>753</v>
      </c>
      <c r="B26" t="s">
        <v>749</v>
      </c>
      <c r="C26" s="4">
        <v>28</v>
      </c>
      <c r="D26" s="16">
        <f t="shared" si="0"/>
        <v>28</v>
      </c>
      <c r="E26" s="16">
        <f t="shared" si="1"/>
        <v>33</v>
      </c>
      <c r="F26" s="16">
        <f t="shared" si="2"/>
        <v>40</v>
      </c>
      <c r="G26" s="16">
        <f t="shared" si="3"/>
        <v>49</v>
      </c>
      <c r="H26" s="16">
        <f t="shared" si="4"/>
        <v>58</v>
      </c>
    </row>
    <row r="27" spans="1:8">
      <c r="A27" t="s">
        <v>753</v>
      </c>
      <c r="B27" t="s">
        <v>750</v>
      </c>
      <c r="C27" s="4">
        <v>20</v>
      </c>
      <c r="D27" s="16">
        <f t="shared" si="0"/>
        <v>20</v>
      </c>
      <c r="E27" s="16">
        <f t="shared" si="1"/>
        <v>24</v>
      </c>
      <c r="F27" s="16">
        <f t="shared" si="2"/>
        <v>29</v>
      </c>
      <c r="G27" s="16">
        <f t="shared" si="3"/>
        <v>35</v>
      </c>
      <c r="H27" s="16">
        <f t="shared" si="4"/>
        <v>42</v>
      </c>
    </row>
    <row r="28" spans="1:8">
      <c r="A28" t="s">
        <v>754</v>
      </c>
      <c r="B28" t="s">
        <v>748</v>
      </c>
      <c r="C28" s="4">
        <v>40</v>
      </c>
      <c r="D28" s="16">
        <f t="shared" si="0"/>
        <v>40</v>
      </c>
      <c r="E28" s="16">
        <f t="shared" si="1"/>
        <v>48</v>
      </c>
      <c r="F28" s="16">
        <f t="shared" si="2"/>
        <v>58</v>
      </c>
      <c r="G28" s="16">
        <f t="shared" si="3"/>
        <v>70</v>
      </c>
      <c r="H28" s="16">
        <f t="shared" si="4"/>
        <v>84</v>
      </c>
    </row>
    <row r="29" spans="1:8">
      <c r="A29" t="s">
        <v>754</v>
      </c>
      <c r="B29" t="s">
        <v>749</v>
      </c>
      <c r="C29" s="4">
        <v>36</v>
      </c>
      <c r="D29" s="16">
        <f t="shared" si="0"/>
        <v>36</v>
      </c>
      <c r="E29" s="16">
        <f t="shared" si="1"/>
        <v>43</v>
      </c>
      <c r="F29" s="16">
        <f t="shared" si="2"/>
        <v>52</v>
      </c>
      <c r="G29" s="16">
        <f t="shared" si="3"/>
        <v>63</v>
      </c>
      <c r="H29" s="16">
        <f t="shared" si="4"/>
        <v>75</v>
      </c>
    </row>
    <row r="30" spans="1:8">
      <c r="A30" t="s">
        <v>754</v>
      </c>
      <c r="B30" t="s">
        <v>750</v>
      </c>
      <c r="C30" s="4">
        <v>26</v>
      </c>
      <c r="D30" s="16">
        <f t="shared" si="0"/>
        <v>26</v>
      </c>
      <c r="E30" s="16">
        <f t="shared" si="1"/>
        <v>31</v>
      </c>
      <c r="F30" s="16">
        <f t="shared" si="2"/>
        <v>37</v>
      </c>
      <c r="G30" s="16">
        <f t="shared" si="3"/>
        <v>45</v>
      </c>
      <c r="H30" s="16">
        <f t="shared" si="4"/>
        <v>54</v>
      </c>
    </row>
    <row r="33" ht="22" customHeight="1" spans="1:5">
      <c r="A33" s="5" t="s">
        <v>755</v>
      </c>
      <c r="B33" s="5"/>
      <c r="C33" s="5"/>
      <c r="D33" s="5"/>
      <c r="E33" s="5"/>
    </row>
    <row r="34" spans="1:5">
      <c r="A34" s="6" t="s">
        <v>756</v>
      </c>
      <c r="B34" s="6"/>
      <c r="C34" s="6"/>
      <c r="D34" s="6"/>
      <c r="E34" s="6"/>
    </row>
    <row r="35" ht="17" spans="1:2">
      <c r="A35" s="3" t="s">
        <v>735</v>
      </c>
      <c r="B35" s="3" t="s">
        <v>757</v>
      </c>
    </row>
    <row r="36" ht="17" spans="1:2">
      <c r="A36" s="7" t="s">
        <v>737</v>
      </c>
      <c r="B36" s="9">
        <v>60</v>
      </c>
    </row>
    <row r="37" ht="17" spans="1:2">
      <c r="A37" s="10" t="s">
        <v>738</v>
      </c>
      <c r="B37" s="11">
        <v>120</v>
      </c>
    </row>
    <row r="38" ht="17" spans="1:2">
      <c r="A38" s="10" t="s">
        <v>739</v>
      </c>
      <c r="B38" s="11">
        <v>240</v>
      </c>
    </row>
    <row r="39" ht="17" spans="1:2">
      <c r="A39" s="10" t="s">
        <v>740</v>
      </c>
      <c r="B39" s="11">
        <v>480</v>
      </c>
    </row>
    <row r="40" ht="17" spans="1:2">
      <c r="A40" s="10" t="s">
        <v>741</v>
      </c>
      <c r="B40" s="11">
        <v>900</v>
      </c>
    </row>
    <row r="43" ht="22" customHeight="1" spans="1:3">
      <c r="A43" s="5" t="s">
        <v>758</v>
      </c>
      <c r="B43" s="5"/>
      <c r="C43" s="5"/>
    </row>
    <row r="44" spans="1:3">
      <c r="A44" s="6" t="s">
        <v>759</v>
      </c>
      <c r="B44" s="6"/>
      <c r="C44" s="6"/>
    </row>
    <row r="45" ht="17" spans="1:3">
      <c r="A45" s="3" t="s">
        <v>760</v>
      </c>
      <c r="B45" s="3" t="s">
        <v>761</v>
      </c>
      <c r="C45" s="3" t="s">
        <v>762</v>
      </c>
    </row>
    <row r="46" ht="34" spans="1:3">
      <c r="A46" s="7" t="s">
        <v>763</v>
      </c>
      <c r="B46" s="7" t="s">
        <v>764</v>
      </c>
      <c r="C46" s="7" t="s">
        <v>765</v>
      </c>
    </row>
    <row r="47" ht="34" spans="1:3">
      <c r="A47" s="10" t="s">
        <v>766</v>
      </c>
      <c r="B47" s="10" t="s">
        <v>767</v>
      </c>
      <c r="C47" s="10" t="s">
        <v>768</v>
      </c>
    </row>
    <row r="48" ht="34" spans="1:3">
      <c r="A48" s="10" t="s">
        <v>769</v>
      </c>
      <c r="B48" s="10" t="s">
        <v>770</v>
      </c>
      <c r="C48" s="10" t="s">
        <v>771</v>
      </c>
    </row>
    <row r="49" ht="34" spans="1:3">
      <c r="A49" s="10" t="s">
        <v>772</v>
      </c>
      <c r="B49" s="10" t="s">
        <v>773</v>
      </c>
      <c r="C49" s="10" t="s">
        <v>774</v>
      </c>
    </row>
    <row r="50" ht="17" spans="1:3">
      <c r="A50" s="10" t="s">
        <v>775</v>
      </c>
      <c r="B50" s="10" t="s">
        <v>776</v>
      </c>
      <c r="C50" s="10" t="s">
        <v>777</v>
      </c>
    </row>
    <row r="51" ht="17" spans="1:3">
      <c r="A51" s="10" t="s">
        <v>778</v>
      </c>
      <c r="B51" s="10" t="s">
        <v>779</v>
      </c>
      <c r="C51" s="10" t="s">
        <v>777</v>
      </c>
    </row>
    <row r="52" ht="17" spans="1:3">
      <c r="A52" s="10" t="s">
        <v>780</v>
      </c>
      <c r="B52" s="10" t="s">
        <v>781</v>
      </c>
      <c r="C52" s="10" t="s">
        <v>777</v>
      </c>
    </row>
    <row r="53" ht="34" spans="1:3">
      <c r="A53" s="10" t="s">
        <v>782</v>
      </c>
      <c r="B53" s="10" t="s">
        <v>783</v>
      </c>
      <c r="C53" s="10" t="s">
        <v>784</v>
      </c>
    </row>
    <row r="54" ht="34" spans="1:3">
      <c r="A54" s="10" t="s">
        <v>785</v>
      </c>
      <c r="B54" s="10" t="s">
        <v>783</v>
      </c>
      <c r="C54" s="10" t="s">
        <v>786</v>
      </c>
    </row>
    <row r="55" ht="34" spans="1:3">
      <c r="A55" s="10" t="s">
        <v>787</v>
      </c>
      <c r="B55" s="10" t="s">
        <v>783</v>
      </c>
      <c r="C55" s="10" t="s">
        <v>788</v>
      </c>
    </row>
    <row r="56" ht="34" spans="1:3">
      <c r="A56" s="10" t="s">
        <v>789</v>
      </c>
      <c r="B56" s="10" t="s">
        <v>783</v>
      </c>
      <c r="C56" s="10" t="s">
        <v>790</v>
      </c>
    </row>
    <row r="57" ht="34" spans="1:3">
      <c r="A57" s="10" t="s">
        <v>791</v>
      </c>
      <c r="B57" s="10" t="s">
        <v>783</v>
      </c>
      <c r="C57" s="10" t="s">
        <v>792</v>
      </c>
    </row>
    <row r="60" ht="22" customHeight="1" spans="1:6">
      <c r="A60" s="5" t="s">
        <v>758</v>
      </c>
      <c r="B60" s="5"/>
      <c r="C60" s="5"/>
      <c r="D60" s="5"/>
      <c r="E60" s="5"/>
      <c r="F60" s="5"/>
    </row>
    <row r="61" spans="1:6">
      <c r="A61" s="6" t="s">
        <v>793</v>
      </c>
      <c r="B61" s="6"/>
      <c r="C61" s="6"/>
      <c r="D61" s="6"/>
      <c r="E61" s="6"/>
      <c r="F61" s="6"/>
    </row>
    <row r="62" ht="17" spans="1:6">
      <c r="A62" s="3" t="s">
        <v>794</v>
      </c>
      <c r="B62" s="3" t="s">
        <v>737</v>
      </c>
      <c r="C62" s="3" t="s">
        <v>738</v>
      </c>
      <c r="D62" s="3" t="s">
        <v>739</v>
      </c>
      <c r="E62" s="3" t="s">
        <v>740</v>
      </c>
      <c r="F62" s="3" t="s">
        <v>741</v>
      </c>
    </row>
    <row r="63" ht="17" spans="1:6">
      <c r="A63" s="7" t="s">
        <v>795</v>
      </c>
      <c r="B63" s="7" t="s">
        <v>796</v>
      </c>
      <c r="C63" s="7" t="s">
        <v>797</v>
      </c>
      <c r="D63" s="7" t="s">
        <v>798</v>
      </c>
      <c r="E63" s="7" t="s">
        <v>799</v>
      </c>
      <c r="F63" s="7" t="s">
        <v>800</v>
      </c>
    </row>
    <row r="64" ht="17" spans="1:6">
      <c r="A64" s="10" t="s">
        <v>801</v>
      </c>
      <c r="B64" s="10" t="s">
        <v>802</v>
      </c>
      <c r="C64" s="10" t="s">
        <v>796</v>
      </c>
      <c r="D64" s="10" t="s">
        <v>797</v>
      </c>
      <c r="E64" s="10" t="s">
        <v>798</v>
      </c>
      <c r="F64" s="10" t="s">
        <v>799</v>
      </c>
    </row>
    <row r="65" ht="17" spans="1:6">
      <c r="A65" s="10" t="s">
        <v>803</v>
      </c>
      <c r="B65" s="10" t="s">
        <v>796</v>
      </c>
      <c r="C65" s="10" t="s">
        <v>797</v>
      </c>
      <c r="D65" s="10" t="s">
        <v>798</v>
      </c>
      <c r="E65" s="10" t="s">
        <v>799</v>
      </c>
      <c r="F65" s="10" t="s">
        <v>800</v>
      </c>
    </row>
    <row r="66" ht="17" spans="1:6">
      <c r="A66" s="10" t="s">
        <v>804</v>
      </c>
      <c r="B66" s="10" t="s">
        <v>797</v>
      </c>
      <c r="C66" s="10" t="s">
        <v>798</v>
      </c>
      <c r="D66" s="10" t="s">
        <v>799</v>
      </c>
      <c r="E66" s="10" t="s">
        <v>800</v>
      </c>
      <c r="F66" s="10" t="s">
        <v>805</v>
      </c>
    </row>
    <row r="67" ht="17" spans="1:6">
      <c r="A67" s="10" t="s">
        <v>806</v>
      </c>
      <c r="B67" s="10" t="s">
        <v>797</v>
      </c>
      <c r="C67" s="10" t="s">
        <v>798</v>
      </c>
      <c r="D67" s="10" t="s">
        <v>799</v>
      </c>
      <c r="E67" s="10" t="s">
        <v>800</v>
      </c>
      <c r="F67" s="10" t="s">
        <v>805</v>
      </c>
    </row>
    <row r="70" ht="22" customHeight="1" spans="1:3">
      <c r="A70" s="5" t="s">
        <v>807</v>
      </c>
      <c r="B70" s="5"/>
      <c r="C70" s="5"/>
    </row>
    <row r="71" spans="1:3">
      <c r="A71" s="6" t="s">
        <v>808</v>
      </c>
      <c r="B71" s="6"/>
      <c r="C71" s="6"/>
    </row>
    <row r="72" ht="17" spans="1:3">
      <c r="A72" s="3" t="s">
        <v>809</v>
      </c>
      <c r="B72" s="3" t="s">
        <v>810</v>
      </c>
      <c r="C72" s="3" t="s">
        <v>811</v>
      </c>
    </row>
    <row r="73" ht="17" spans="1:3">
      <c r="A73" s="7" t="s">
        <v>812</v>
      </c>
      <c r="B73" s="7" t="s">
        <v>813</v>
      </c>
      <c r="C73" s="7" t="s">
        <v>814</v>
      </c>
    </row>
    <row r="74" ht="17" spans="1:3">
      <c r="A74" s="10" t="s">
        <v>815</v>
      </c>
      <c r="B74" s="10" t="s">
        <v>813</v>
      </c>
      <c r="C74" s="10" t="s">
        <v>814</v>
      </c>
    </row>
    <row r="75" ht="34" spans="1:3">
      <c r="A75" s="10" t="s">
        <v>775</v>
      </c>
      <c r="B75" s="10" t="s">
        <v>816</v>
      </c>
      <c r="C75" s="10" t="s">
        <v>817</v>
      </c>
    </row>
    <row r="76" ht="34" spans="1:3">
      <c r="A76" s="10" t="s">
        <v>778</v>
      </c>
      <c r="B76" s="10" t="s">
        <v>818</v>
      </c>
      <c r="C76" s="10" t="s">
        <v>819</v>
      </c>
    </row>
    <row r="77" ht="34" spans="1:3">
      <c r="A77" s="10" t="s">
        <v>780</v>
      </c>
      <c r="B77" s="10" t="s">
        <v>820</v>
      </c>
      <c r="C77" s="10" t="s">
        <v>821</v>
      </c>
    </row>
    <row r="80" ht="22" customHeight="1" spans="1:3">
      <c r="A80" s="5" t="s">
        <v>822</v>
      </c>
      <c r="B80" s="5"/>
      <c r="C80" s="5"/>
    </row>
    <row r="81" spans="1:3">
      <c r="A81" s="6" t="s">
        <v>823</v>
      </c>
      <c r="B81" s="6"/>
      <c r="C81" s="6"/>
    </row>
    <row r="82" ht="17" spans="1:3">
      <c r="A82" s="3" t="s">
        <v>824</v>
      </c>
      <c r="B82" s="3" t="s">
        <v>825</v>
      </c>
      <c r="C82" s="3" t="s">
        <v>826</v>
      </c>
    </row>
    <row r="83" ht="17" spans="1:3">
      <c r="A83" s="7" t="s">
        <v>827</v>
      </c>
      <c r="B83" s="7" t="s">
        <v>828</v>
      </c>
      <c r="C83" s="7" t="s">
        <v>772</v>
      </c>
    </row>
    <row r="84" ht="17" spans="1:3">
      <c r="A84" s="10" t="s">
        <v>829</v>
      </c>
      <c r="B84" s="10" t="s">
        <v>830</v>
      </c>
      <c r="C84" s="10" t="s">
        <v>766</v>
      </c>
    </row>
    <row r="85" ht="17" spans="1:3">
      <c r="A85" s="10" t="s">
        <v>831</v>
      </c>
      <c r="B85" s="10" t="s">
        <v>832</v>
      </c>
      <c r="C85" s="10" t="s">
        <v>769</v>
      </c>
    </row>
    <row r="86" ht="17" spans="1:3">
      <c r="A86" s="10" t="s">
        <v>833</v>
      </c>
      <c r="B86" s="10" t="s">
        <v>834</v>
      </c>
      <c r="C86" s="10" t="s">
        <v>763</v>
      </c>
    </row>
    <row r="87" ht="17" spans="1:3">
      <c r="A87" s="10" t="s">
        <v>835</v>
      </c>
      <c r="B87" s="10" t="s">
        <v>836</v>
      </c>
      <c r="C87" s="10" t="s">
        <v>775</v>
      </c>
    </row>
    <row r="88" ht="17" spans="1:3">
      <c r="A88" s="10" t="s">
        <v>837</v>
      </c>
      <c r="B88" s="10" t="s">
        <v>838</v>
      </c>
      <c r="C88" s="10" t="s">
        <v>780</v>
      </c>
    </row>
    <row r="89" ht="17" spans="1:3">
      <c r="A89" s="10" t="s">
        <v>839</v>
      </c>
      <c r="B89" s="10" t="s">
        <v>840</v>
      </c>
      <c r="C89" s="10" t="s">
        <v>750</v>
      </c>
    </row>
    <row r="90" ht="17" spans="1:3">
      <c r="A90" s="10" t="s">
        <v>841</v>
      </c>
      <c r="B90" s="10" t="s">
        <v>842</v>
      </c>
      <c r="C90" s="10" t="s">
        <v>750</v>
      </c>
    </row>
    <row r="91" ht="17" spans="1:3">
      <c r="A91" s="10" t="s">
        <v>843</v>
      </c>
      <c r="B91" s="10" t="s">
        <v>844</v>
      </c>
      <c r="C91" s="10" t="s">
        <v>750</v>
      </c>
    </row>
    <row r="92" ht="17" spans="1:3">
      <c r="A92" s="10" t="s">
        <v>845</v>
      </c>
      <c r="B92" s="10" t="s">
        <v>846</v>
      </c>
      <c r="C92" s="10" t="s">
        <v>750</v>
      </c>
    </row>
    <row r="93" ht="17" spans="1:3">
      <c r="A93" s="10" t="s">
        <v>847</v>
      </c>
      <c r="B93" s="10" t="s">
        <v>848</v>
      </c>
      <c r="C93" s="10" t="s">
        <v>772</v>
      </c>
    </row>
    <row r="94" ht="17" spans="1:3">
      <c r="A94" s="10" t="s">
        <v>849</v>
      </c>
      <c r="B94" s="10" t="s">
        <v>850</v>
      </c>
      <c r="C94" s="10" t="s">
        <v>766</v>
      </c>
    </row>
    <row r="95" ht="17" spans="1:3">
      <c r="A95" s="10" t="s">
        <v>851</v>
      </c>
      <c r="B95" s="10" t="s">
        <v>852</v>
      </c>
      <c r="C95" s="10" t="s">
        <v>769</v>
      </c>
    </row>
    <row r="96" ht="17" spans="1:3">
      <c r="A96" s="10" t="s">
        <v>853</v>
      </c>
      <c r="B96" s="10" t="s">
        <v>854</v>
      </c>
      <c r="C96" s="10" t="s">
        <v>763</v>
      </c>
    </row>
    <row r="97" ht="17" spans="1:3">
      <c r="A97" s="10" t="s">
        <v>855</v>
      </c>
      <c r="B97" s="10" t="s">
        <v>856</v>
      </c>
      <c r="C97" s="10" t="s">
        <v>775</v>
      </c>
    </row>
    <row r="98" ht="17" spans="1:3">
      <c r="A98" s="10" t="s">
        <v>857</v>
      </c>
      <c r="B98" s="10" t="s">
        <v>858</v>
      </c>
      <c r="C98" s="10" t="s">
        <v>778</v>
      </c>
    </row>
    <row r="99" ht="17" spans="1:3">
      <c r="A99" s="10" t="s">
        <v>859</v>
      </c>
      <c r="B99" s="10" t="s">
        <v>860</v>
      </c>
      <c r="C99" s="10" t="s">
        <v>750</v>
      </c>
    </row>
    <row r="100" ht="17" spans="1:3">
      <c r="A100" s="10" t="s">
        <v>861</v>
      </c>
      <c r="B100" s="10" t="s">
        <v>862</v>
      </c>
      <c r="C100" s="10" t="s">
        <v>750</v>
      </c>
    </row>
    <row r="101" ht="17" spans="1:3">
      <c r="A101" s="10" t="s">
        <v>863</v>
      </c>
      <c r="B101" s="10" t="s">
        <v>864</v>
      </c>
      <c r="C101" s="10" t="s">
        <v>750</v>
      </c>
    </row>
    <row r="102" ht="17" spans="1:3">
      <c r="A102" s="10" t="s">
        <v>865</v>
      </c>
      <c r="B102" s="10" t="s">
        <v>866</v>
      </c>
      <c r="C102" s="10" t="s">
        <v>772</v>
      </c>
    </row>
    <row r="103" ht="17" spans="1:3">
      <c r="A103" s="10" t="s">
        <v>867</v>
      </c>
      <c r="B103" s="10" t="s">
        <v>868</v>
      </c>
      <c r="C103" s="10" t="s">
        <v>769</v>
      </c>
    </row>
    <row r="104" ht="17" spans="1:3">
      <c r="A104" s="10" t="s">
        <v>869</v>
      </c>
      <c r="B104" s="10" t="s">
        <v>870</v>
      </c>
      <c r="C104" s="10" t="s">
        <v>766</v>
      </c>
    </row>
    <row r="105" ht="17" spans="1:3">
      <c r="A105" s="10" t="s">
        <v>871</v>
      </c>
      <c r="B105" s="10" t="s">
        <v>872</v>
      </c>
      <c r="C105" s="10" t="s">
        <v>775</v>
      </c>
    </row>
    <row r="106" ht="17" spans="1:3">
      <c r="A106" s="10" t="s">
        <v>873</v>
      </c>
      <c r="B106" s="10" t="s">
        <v>874</v>
      </c>
      <c r="C106" s="10" t="s">
        <v>778</v>
      </c>
    </row>
    <row r="107" ht="17" spans="1:3">
      <c r="A107" s="10" t="s">
        <v>875</v>
      </c>
      <c r="B107" s="10" t="s">
        <v>876</v>
      </c>
      <c r="C107" s="10" t="s">
        <v>769</v>
      </c>
    </row>
    <row r="108" ht="17" spans="1:3">
      <c r="A108" s="10" t="s">
        <v>877</v>
      </c>
      <c r="B108" s="10" t="s">
        <v>878</v>
      </c>
      <c r="C108" s="10" t="s">
        <v>763</v>
      </c>
    </row>
    <row r="111" ht="22" customHeight="1" spans="1:2">
      <c r="A111" s="5" t="s">
        <v>879</v>
      </c>
      <c r="B111" s="5"/>
    </row>
    <row r="112" spans="1:2">
      <c r="A112" s="6" t="s">
        <v>880</v>
      </c>
      <c r="B112" s="6"/>
    </row>
    <row r="113" ht="17" spans="1:2">
      <c r="A113" s="3" t="s">
        <v>494</v>
      </c>
      <c r="B113" s="3" t="s">
        <v>881</v>
      </c>
    </row>
    <row r="114" ht="34" spans="1:2">
      <c r="A114" s="7" t="s">
        <v>882</v>
      </c>
      <c r="B114" s="7" t="s">
        <v>883</v>
      </c>
    </row>
    <row r="115" ht="34" spans="1:2">
      <c r="A115" s="10" t="s">
        <v>884</v>
      </c>
      <c r="B115" s="10" t="s">
        <v>885</v>
      </c>
    </row>
    <row r="116" ht="34" spans="1:2">
      <c r="A116" s="10" t="s">
        <v>496</v>
      </c>
      <c r="B116" s="10" t="s">
        <v>886</v>
      </c>
    </row>
    <row r="117" ht="34" spans="1:2">
      <c r="A117" s="10" t="s">
        <v>887</v>
      </c>
      <c r="B117" s="10" t="s">
        <v>888</v>
      </c>
    </row>
    <row r="118" ht="17" spans="1:2">
      <c r="A118" s="10" t="s">
        <v>889</v>
      </c>
      <c r="B118" s="10" t="s">
        <v>890</v>
      </c>
    </row>
    <row r="119" ht="68" spans="1:2">
      <c r="A119" s="10" t="s">
        <v>891</v>
      </c>
      <c r="B119" s="10" t="s">
        <v>892</v>
      </c>
    </row>
    <row r="122" ht="22" customHeight="1" spans="1:7">
      <c r="A122" s="5" t="s">
        <v>893</v>
      </c>
      <c r="B122" s="5"/>
      <c r="C122" s="5"/>
      <c r="D122" s="5"/>
      <c r="E122" s="5"/>
      <c r="F122" s="5"/>
      <c r="G122" s="5"/>
    </row>
    <row r="123" spans="1:7">
      <c r="A123" s="6" t="s">
        <v>894</v>
      </c>
      <c r="B123" s="6"/>
      <c r="C123" s="6"/>
      <c r="D123" s="6"/>
      <c r="E123" s="6"/>
      <c r="F123" s="6"/>
      <c r="G123" s="6"/>
    </row>
    <row r="124" ht="17" spans="1:7">
      <c r="A124" s="3" t="s">
        <v>502</v>
      </c>
      <c r="B124" s="3" t="s">
        <v>737</v>
      </c>
      <c r="C124" s="3" t="s">
        <v>738</v>
      </c>
      <c r="D124" s="3" t="s">
        <v>739</v>
      </c>
      <c r="E124" s="3" t="s">
        <v>740</v>
      </c>
      <c r="F124" s="3" t="s">
        <v>741</v>
      </c>
      <c r="G124" s="3" t="s">
        <v>895</v>
      </c>
    </row>
    <row r="125" ht="17" spans="1:7">
      <c r="A125" s="7" t="s">
        <v>896</v>
      </c>
      <c r="B125" s="8">
        <v>0.65</v>
      </c>
      <c r="C125" s="8">
        <v>0.3</v>
      </c>
      <c r="D125" s="8">
        <v>0.05</v>
      </c>
      <c r="E125" s="9">
        <v>0</v>
      </c>
      <c r="F125" s="9">
        <v>0</v>
      </c>
      <c r="G125" s="9">
        <v>0</v>
      </c>
    </row>
    <row r="126" ht="17" spans="1:7">
      <c r="A126" s="10" t="s">
        <v>897</v>
      </c>
      <c r="B126" s="12">
        <v>0.25</v>
      </c>
      <c r="C126" s="12">
        <v>0.55</v>
      </c>
      <c r="D126" s="12">
        <v>0.2</v>
      </c>
      <c r="E126" s="11">
        <v>0</v>
      </c>
      <c r="F126" s="11">
        <v>0</v>
      </c>
      <c r="G126" s="11">
        <v>0</v>
      </c>
    </row>
    <row r="127" ht="17" spans="1:7">
      <c r="A127" s="10" t="s">
        <v>898</v>
      </c>
      <c r="B127" s="11">
        <v>0</v>
      </c>
      <c r="C127" s="12">
        <v>0.15</v>
      </c>
      <c r="D127" s="12">
        <v>0.82</v>
      </c>
      <c r="E127" s="12">
        <v>0.03</v>
      </c>
      <c r="F127" s="11">
        <v>0</v>
      </c>
      <c r="G127" s="11">
        <v>0</v>
      </c>
    </row>
    <row r="128" ht="17" spans="1:7">
      <c r="A128" s="10" t="s">
        <v>899</v>
      </c>
      <c r="B128" s="11">
        <v>0</v>
      </c>
      <c r="C128" s="11">
        <v>0</v>
      </c>
      <c r="D128" s="12">
        <v>0.92</v>
      </c>
      <c r="E128" s="12">
        <v>0.08</v>
      </c>
      <c r="F128" s="11">
        <v>0</v>
      </c>
      <c r="G128" s="11">
        <v>0</v>
      </c>
    </row>
    <row r="131" ht="22" customHeight="1" spans="1:4">
      <c r="A131" s="5" t="s">
        <v>900</v>
      </c>
      <c r="B131" s="5"/>
      <c r="C131" s="5"/>
      <c r="D131" s="5"/>
    </row>
    <row r="132" spans="1:4">
      <c r="A132" s="6" t="s">
        <v>901</v>
      </c>
      <c r="B132" s="6"/>
      <c r="C132" s="6"/>
      <c r="D132" s="6"/>
    </row>
    <row r="133" ht="17" spans="1:4">
      <c r="A133" s="3" t="s">
        <v>902</v>
      </c>
      <c r="B133" s="3" t="s">
        <v>903</v>
      </c>
      <c r="C133" s="3" t="s">
        <v>904</v>
      </c>
      <c r="D133" s="3" t="s">
        <v>905</v>
      </c>
    </row>
    <row r="134" ht="17" spans="1:4">
      <c r="A134" s="7" t="s">
        <v>737</v>
      </c>
      <c r="B134" s="9">
        <v>8</v>
      </c>
      <c r="C134" s="9">
        <v>0</v>
      </c>
      <c r="D134" s="9">
        <v>1</v>
      </c>
    </row>
    <row r="135" ht="17" spans="1:4">
      <c r="A135" s="10" t="s">
        <v>738</v>
      </c>
      <c r="B135" s="11">
        <v>18</v>
      </c>
      <c r="C135" s="11">
        <v>0</v>
      </c>
      <c r="D135" s="11">
        <v>1</v>
      </c>
    </row>
    <row r="136" ht="17" spans="1:4">
      <c r="A136" s="10" t="s">
        <v>739</v>
      </c>
      <c r="B136" s="11">
        <v>36</v>
      </c>
      <c r="C136" s="11">
        <v>1</v>
      </c>
      <c r="D136" s="11">
        <v>1</v>
      </c>
    </row>
    <row r="137" ht="17" spans="1:4">
      <c r="A137" s="10" t="s">
        <v>740</v>
      </c>
      <c r="B137" s="11">
        <v>70</v>
      </c>
      <c r="C137" s="11">
        <v>4</v>
      </c>
      <c r="D137" s="11">
        <v>1</v>
      </c>
    </row>
    <row r="138" ht="17" spans="1:4">
      <c r="A138" s="10" t="s">
        <v>741</v>
      </c>
      <c r="B138" s="11">
        <v>130</v>
      </c>
      <c r="C138" s="11">
        <v>12</v>
      </c>
      <c r="D138" s="11">
        <v>1</v>
      </c>
    </row>
    <row r="141" ht="22" customHeight="1" spans="1:4">
      <c r="A141" s="5" t="s">
        <v>906</v>
      </c>
      <c r="B141" s="5"/>
      <c r="C141" s="5"/>
      <c r="D141" s="5"/>
    </row>
    <row r="142" spans="1:4">
      <c r="A142" s="6" t="s">
        <v>907</v>
      </c>
      <c r="B142" s="6"/>
      <c r="C142" s="6"/>
      <c r="D142" s="6"/>
    </row>
    <row r="143" ht="17" spans="1:4">
      <c r="A143" s="3" t="s">
        <v>735</v>
      </c>
      <c r="B143" s="3" t="s">
        <v>903</v>
      </c>
      <c r="C143" s="3" t="s">
        <v>904</v>
      </c>
      <c r="D143" s="3" t="s">
        <v>908</v>
      </c>
    </row>
    <row r="144" ht="17" spans="1:4">
      <c r="A144" s="7" t="s">
        <v>737</v>
      </c>
      <c r="B144" s="9">
        <v>2</v>
      </c>
      <c r="C144" s="9">
        <v>0</v>
      </c>
      <c r="D144" s="9">
        <v>0</v>
      </c>
    </row>
    <row r="145" ht="17" spans="1:4">
      <c r="A145" s="10" t="s">
        <v>738</v>
      </c>
      <c r="B145" s="11">
        <v>5</v>
      </c>
      <c r="C145" s="11">
        <v>0</v>
      </c>
      <c r="D145" s="11">
        <v>0</v>
      </c>
    </row>
    <row r="146" ht="17" spans="1:4">
      <c r="A146" s="10" t="s">
        <v>739</v>
      </c>
      <c r="B146" s="11">
        <v>10</v>
      </c>
      <c r="C146" s="11">
        <v>0</v>
      </c>
      <c r="D146" s="11">
        <v>1</v>
      </c>
    </row>
    <row r="147" ht="17" spans="1:4">
      <c r="A147" s="10" t="s">
        <v>740</v>
      </c>
      <c r="B147" s="11">
        <v>18</v>
      </c>
      <c r="C147" s="11">
        <v>1</v>
      </c>
      <c r="D147" s="11">
        <v>2</v>
      </c>
    </row>
    <row r="148" ht="17" spans="1:4">
      <c r="A148" s="10" t="s">
        <v>741</v>
      </c>
      <c r="B148" s="11">
        <v>35</v>
      </c>
      <c r="C148" s="11">
        <v>3</v>
      </c>
      <c r="D148" s="11">
        <v>4</v>
      </c>
    </row>
  </sheetData>
  <mergeCells count="24">
    <mergeCell ref="A1:I1"/>
    <mergeCell ref="A2:I2"/>
    <mergeCell ref="A4:E4"/>
    <mergeCell ref="A5:E5"/>
    <mergeCell ref="A13:H13"/>
    <mergeCell ref="A14:H14"/>
    <mergeCell ref="A33:E33"/>
    <mergeCell ref="A34:E34"/>
    <mergeCell ref="A43:C43"/>
    <mergeCell ref="A44:C44"/>
    <mergeCell ref="A60:F60"/>
    <mergeCell ref="A61:F61"/>
    <mergeCell ref="A70:C70"/>
    <mergeCell ref="A71:C71"/>
    <mergeCell ref="A80:C80"/>
    <mergeCell ref="A81:C81"/>
    <mergeCell ref="A111:B111"/>
    <mergeCell ref="A112:B112"/>
    <mergeCell ref="A122:G122"/>
    <mergeCell ref="A123:G123"/>
    <mergeCell ref="A131:D131"/>
    <mergeCell ref="A132:D132"/>
    <mergeCell ref="A141:D141"/>
    <mergeCell ref="A142:D142"/>
  </mergeCells>
  <pageMargins left="0.7" right="0.7" top="0.75" bottom="0.75" header="0.3" footer="0.3"/>
  <headerFooter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"/>
  <sheetViews>
    <sheetView showGridLines="0" workbookViewId="0">
      <selection activeCell="A1" sqref="A1:H1"/>
    </sheetView>
  </sheetViews>
  <sheetFormatPr defaultColWidth="9" defaultRowHeight="16.8" outlineLevelCol="7"/>
  <cols>
    <col min="1" max="1" width="32" customWidth="1"/>
    <col min="2" max="2" width="20" customWidth="1"/>
    <col min="3" max="3" width="16" customWidth="1"/>
    <col min="4" max="4" width="26" customWidth="1"/>
    <col min="5" max="5" width="60" customWidth="1"/>
    <col min="6" max="6" width="28" customWidth="1"/>
    <col min="7" max="7" width="55" customWidth="1"/>
    <col min="8" max="8" width="30" customWidth="1"/>
  </cols>
  <sheetData>
    <row r="1" ht="30" customHeight="1" spans="1:8">
      <c r="A1" s="1" t="s">
        <v>909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910</v>
      </c>
      <c r="B2" s="2"/>
      <c r="C2" s="2"/>
      <c r="D2" s="2"/>
      <c r="E2" s="2"/>
      <c r="F2" s="2"/>
      <c r="G2" s="2"/>
      <c r="H2" s="2"/>
    </row>
    <row r="4" ht="22" customHeight="1" spans="1:6">
      <c r="A4" s="5" t="s">
        <v>911</v>
      </c>
      <c r="B4" s="5"/>
      <c r="C4" s="5"/>
      <c r="D4" s="5"/>
      <c r="E4" s="5"/>
      <c r="F4" s="5"/>
    </row>
    <row r="5" spans="1:6">
      <c r="A5" s="6" t="s">
        <v>912</v>
      </c>
      <c r="B5" s="6"/>
      <c r="C5" s="6"/>
      <c r="D5" s="6"/>
      <c r="E5" s="6"/>
      <c r="F5" s="6"/>
    </row>
    <row r="6" ht="17" spans="1:6">
      <c r="A6" s="3" t="s">
        <v>913</v>
      </c>
      <c r="B6" s="3" t="s">
        <v>745</v>
      </c>
      <c r="C6" s="3" t="s">
        <v>914</v>
      </c>
      <c r="D6" s="3" t="s">
        <v>915</v>
      </c>
      <c r="E6" s="3" t="s">
        <v>916</v>
      </c>
      <c r="F6" s="3" t="s">
        <v>494</v>
      </c>
    </row>
    <row r="7" ht="34" spans="1:6">
      <c r="A7" s="7" t="s">
        <v>917</v>
      </c>
      <c r="B7" s="7" t="s">
        <v>750</v>
      </c>
      <c r="C7" s="9">
        <v>10</v>
      </c>
      <c r="D7" s="7" t="s">
        <v>918</v>
      </c>
      <c r="E7" s="7" t="s">
        <v>919</v>
      </c>
      <c r="F7" s="7" t="s">
        <v>920</v>
      </c>
    </row>
    <row r="8" ht="17" spans="1:6">
      <c r="A8" s="10" t="s">
        <v>921</v>
      </c>
      <c r="B8" s="10" t="s">
        <v>750</v>
      </c>
      <c r="C8" s="11">
        <v>10</v>
      </c>
      <c r="D8" s="10" t="s">
        <v>922</v>
      </c>
      <c r="E8" s="10" t="s">
        <v>923</v>
      </c>
      <c r="F8" s="10" t="s">
        <v>924</v>
      </c>
    </row>
    <row r="9" ht="17" spans="1:6">
      <c r="A9" s="10" t="s">
        <v>925</v>
      </c>
      <c r="B9" s="10" t="s">
        <v>750</v>
      </c>
      <c r="C9" s="11">
        <v>14</v>
      </c>
      <c r="D9" s="10" t="s">
        <v>926</v>
      </c>
      <c r="E9" s="10" t="s">
        <v>923</v>
      </c>
      <c r="F9" s="10" t="s">
        <v>927</v>
      </c>
    </row>
    <row r="10" ht="34" spans="1:6">
      <c r="A10" s="10" t="s">
        <v>928</v>
      </c>
      <c r="B10" s="10" t="s">
        <v>750</v>
      </c>
      <c r="C10" s="11">
        <v>14</v>
      </c>
      <c r="D10" s="10" t="s">
        <v>929</v>
      </c>
      <c r="E10" s="10" t="s">
        <v>923</v>
      </c>
      <c r="F10" s="10" t="s">
        <v>930</v>
      </c>
    </row>
    <row r="11" ht="34" spans="1:6">
      <c r="A11" s="10" t="s">
        <v>931</v>
      </c>
      <c r="B11" s="10" t="s">
        <v>750</v>
      </c>
      <c r="C11" s="11">
        <v>14</v>
      </c>
      <c r="D11" s="10" t="s">
        <v>932</v>
      </c>
      <c r="E11" s="10" t="s">
        <v>933</v>
      </c>
      <c r="F11" s="10" t="s">
        <v>934</v>
      </c>
    </row>
    <row r="14" ht="22" customHeight="1" spans="1:6">
      <c r="A14" s="5" t="s">
        <v>935</v>
      </c>
      <c r="B14" s="5"/>
      <c r="C14" s="5"/>
      <c r="D14" s="5"/>
      <c r="E14" s="5"/>
      <c r="F14" s="5"/>
    </row>
    <row r="15" spans="1:6">
      <c r="A15" s="6" t="s">
        <v>936</v>
      </c>
      <c r="B15" s="6"/>
      <c r="C15" s="6"/>
      <c r="D15" s="6"/>
      <c r="E15" s="6"/>
      <c r="F15" s="6"/>
    </row>
    <row r="16" ht="17" spans="1:6">
      <c r="A16" s="3" t="s">
        <v>913</v>
      </c>
      <c r="B16" s="3" t="s">
        <v>745</v>
      </c>
      <c r="C16" s="3" t="s">
        <v>914</v>
      </c>
      <c r="D16" s="3" t="s">
        <v>915</v>
      </c>
      <c r="E16" s="3" t="s">
        <v>916</v>
      </c>
      <c r="F16" s="3" t="s">
        <v>937</v>
      </c>
    </row>
    <row r="17" ht="34" spans="1:6">
      <c r="A17" s="7" t="s">
        <v>938</v>
      </c>
      <c r="B17" s="7" t="s">
        <v>763</v>
      </c>
      <c r="C17" s="9">
        <v>28</v>
      </c>
      <c r="D17" s="7" t="s">
        <v>939</v>
      </c>
      <c r="E17" s="7" t="s">
        <v>919</v>
      </c>
      <c r="F17" s="7" t="s">
        <v>940</v>
      </c>
    </row>
    <row r="18" ht="34" spans="1:6">
      <c r="A18" s="10" t="s">
        <v>941</v>
      </c>
      <c r="B18" s="10" t="s">
        <v>766</v>
      </c>
      <c r="C18" s="11">
        <v>28</v>
      </c>
      <c r="D18" s="10" t="s">
        <v>942</v>
      </c>
      <c r="E18" s="10" t="s">
        <v>923</v>
      </c>
      <c r="F18" s="10" t="s">
        <v>943</v>
      </c>
    </row>
    <row r="19" ht="17" spans="1:6">
      <c r="A19" s="10" t="s">
        <v>944</v>
      </c>
      <c r="B19" s="10" t="s">
        <v>769</v>
      </c>
      <c r="C19" s="11">
        <v>28</v>
      </c>
      <c r="D19" s="10" t="s">
        <v>945</v>
      </c>
      <c r="E19" s="10" t="s">
        <v>933</v>
      </c>
      <c r="F19" s="10" t="s">
        <v>946</v>
      </c>
    </row>
    <row r="20" ht="34" spans="1:6">
      <c r="A20" s="10" t="s">
        <v>947</v>
      </c>
      <c r="B20" s="10" t="s">
        <v>772</v>
      </c>
      <c r="C20" s="11">
        <v>28</v>
      </c>
      <c r="D20" s="10" t="s">
        <v>948</v>
      </c>
      <c r="E20" s="10" t="s">
        <v>949</v>
      </c>
      <c r="F20" s="10" t="s">
        <v>950</v>
      </c>
    </row>
    <row r="21" ht="34" spans="1:6">
      <c r="A21" s="10" t="s">
        <v>951</v>
      </c>
      <c r="B21" s="10" t="s">
        <v>750</v>
      </c>
      <c r="C21" s="11">
        <v>18</v>
      </c>
      <c r="D21" s="10" t="s">
        <v>952</v>
      </c>
      <c r="E21" s="10" t="s">
        <v>933</v>
      </c>
      <c r="F21" s="10" t="s">
        <v>953</v>
      </c>
    </row>
    <row r="22" ht="17" spans="1:6">
      <c r="A22" s="10" t="s">
        <v>954</v>
      </c>
      <c r="B22" s="10" t="s">
        <v>750</v>
      </c>
      <c r="C22" s="11">
        <v>18</v>
      </c>
      <c r="D22" s="10" t="s">
        <v>955</v>
      </c>
      <c r="E22" s="10" t="s">
        <v>956</v>
      </c>
      <c r="F22" s="10" t="s">
        <v>957</v>
      </c>
    </row>
    <row r="23" ht="17" spans="1:6">
      <c r="A23" s="10" t="s">
        <v>958</v>
      </c>
      <c r="B23" s="10" t="s">
        <v>750</v>
      </c>
      <c r="C23" s="11">
        <v>18</v>
      </c>
      <c r="D23" s="10" t="s">
        <v>959</v>
      </c>
      <c r="E23" s="10" t="s">
        <v>923</v>
      </c>
      <c r="F23" s="10" t="s">
        <v>960</v>
      </c>
    </row>
    <row r="24" ht="34" spans="1:6">
      <c r="A24" s="10" t="s">
        <v>961</v>
      </c>
      <c r="B24" s="10" t="s">
        <v>750</v>
      </c>
      <c r="C24" s="11">
        <v>18</v>
      </c>
      <c r="D24" s="10" t="s">
        <v>962</v>
      </c>
      <c r="E24" s="10" t="s">
        <v>923</v>
      </c>
      <c r="F24" s="10" t="s">
        <v>963</v>
      </c>
    </row>
    <row r="25" ht="17" spans="1:6">
      <c r="A25" s="10" t="s">
        <v>964</v>
      </c>
      <c r="B25" s="10" t="s">
        <v>750</v>
      </c>
      <c r="C25" s="11">
        <v>18</v>
      </c>
      <c r="D25" s="10" t="s">
        <v>965</v>
      </c>
      <c r="E25" s="10" t="s">
        <v>933</v>
      </c>
      <c r="F25" s="10" t="s">
        <v>966</v>
      </c>
    </row>
    <row r="26" ht="34" spans="1:6">
      <c r="A26" s="10" t="s">
        <v>967</v>
      </c>
      <c r="B26" s="10" t="s">
        <v>750</v>
      </c>
      <c r="C26" s="11">
        <v>22</v>
      </c>
      <c r="D26" s="10" t="s">
        <v>968</v>
      </c>
      <c r="E26" s="10" t="s">
        <v>923</v>
      </c>
      <c r="F26" s="10" t="s">
        <v>969</v>
      </c>
    </row>
    <row r="27" ht="34" spans="1:6">
      <c r="A27" s="10" t="s">
        <v>970</v>
      </c>
      <c r="B27" s="10" t="s">
        <v>750</v>
      </c>
      <c r="C27" s="11">
        <v>22</v>
      </c>
      <c r="D27" s="10" t="s">
        <v>971</v>
      </c>
      <c r="E27" s="10" t="s">
        <v>933</v>
      </c>
      <c r="F27" s="10" t="s">
        <v>972</v>
      </c>
    </row>
    <row r="28" ht="34" spans="1:6">
      <c r="A28" s="10" t="s">
        <v>973</v>
      </c>
      <c r="B28" s="10" t="s">
        <v>750</v>
      </c>
      <c r="C28" s="11">
        <v>22</v>
      </c>
      <c r="D28" s="10" t="s">
        <v>974</v>
      </c>
      <c r="E28" s="10" t="s">
        <v>933</v>
      </c>
      <c r="F28" s="10" t="s">
        <v>975</v>
      </c>
    </row>
    <row r="29" ht="34" spans="1:6">
      <c r="A29" s="10" t="s">
        <v>976</v>
      </c>
      <c r="B29" s="10" t="s">
        <v>750</v>
      </c>
      <c r="C29" s="11">
        <v>22</v>
      </c>
      <c r="D29" s="10" t="s">
        <v>977</v>
      </c>
      <c r="E29" s="10" t="s">
        <v>919</v>
      </c>
      <c r="F29" s="10" t="s">
        <v>978</v>
      </c>
    </row>
    <row r="30" ht="34" spans="1:6">
      <c r="A30" s="10" t="s">
        <v>979</v>
      </c>
      <c r="B30" s="10" t="s">
        <v>750</v>
      </c>
      <c r="C30" s="11">
        <v>22</v>
      </c>
      <c r="D30" s="10" t="s">
        <v>980</v>
      </c>
      <c r="E30" s="10" t="s">
        <v>933</v>
      </c>
      <c r="F30" s="10" t="s">
        <v>981</v>
      </c>
    </row>
    <row r="33" ht="22" customHeight="1" spans="1:7">
      <c r="A33" s="5" t="s">
        <v>982</v>
      </c>
      <c r="B33" s="5"/>
      <c r="C33" s="5"/>
      <c r="D33" s="5"/>
      <c r="E33" s="5"/>
      <c r="F33" s="5"/>
      <c r="G33" s="5"/>
    </row>
    <row r="34" spans="1:7">
      <c r="A34" s="6" t="s">
        <v>983</v>
      </c>
      <c r="B34" s="6"/>
      <c r="C34" s="6"/>
      <c r="D34" s="6"/>
      <c r="E34" s="6"/>
      <c r="F34" s="6"/>
      <c r="G34" s="6"/>
    </row>
    <row r="35" ht="17" spans="1:7">
      <c r="A35" s="3" t="s">
        <v>913</v>
      </c>
      <c r="B35" s="3" t="s">
        <v>984</v>
      </c>
      <c r="C35" s="3" t="s">
        <v>735</v>
      </c>
      <c r="D35" s="3" t="s">
        <v>914</v>
      </c>
      <c r="E35" s="3" t="s">
        <v>985</v>
      </c>
      <c r="F35" s="3" t="s">
        <v>915</v>
      </c>
      <c r="G35" s="3" t="s">
        <v>986</v>
      </c>
    </row>
    <row r="36" ht="34" spans="1:7">
      <c r="A36" s="7" t="s">
        <v>987</v>
      </c>
      <c r="B36" s="7" t="s">
        <v>988</v>
      </c>
      <c r="C36" s="7" t="s">
        <v>739</v>
      </c>
      <c r="D36" s="9">
        <v>18</v>
      </c>
      <c r="E36" s="7" t="s">
        <v>989</v>
      </c>
      <c r="F36" s="7" t="s">
        <v>990</v>
      </c>
      <c r="G36" s="7" t="s">
        <v>991</v>
      </c>
    </row>
    <row r="37" ht="34" spans="1:7">
      <c r="A37" s="10" t="s">
        <v>992</v>
      </c>
      <c r="B37" s="10" t="s">
        <v>993</v>
      </c>
      <c r="C37" s="10" t="s">
        <v>740</v>
      </c>
      <c r="D37" s="11">
        <v>28</v>
      </c>
      <c r="E37" s="10" t="s">
        <v>994</v>
      </c>
      <c r="F37" s="10" t="s">
        <v>995</v>
      </c>
      <c r="G37" s="10" t="s">
        <v>996</v>
      </c>
    </row>
    <row r="40" ht="22" customHeight="1" spans="1:6">
      <c r="A40" s="5" t="s">
        <v>997</v>
      </c>
      <c r="B40" s="5"/>
      <c r="C40" s="5"/>
      <c r="D40" s="5"/>
      <c r="E40" s="5"/>
      <c r="F40" s="5"/>
    </row>
    <row r="41" spans="1:6">
      <c r="A41" s="6" t="s">
        <v>998</v>
      </c>
      <c r="B41" s="6"/>
      <c r="C41" s="6"/>
      <c r="D41" s="6"/>
      <c r="E41" s="6"/>
      <c r="F41" s="6"/>
    </row>
    <row r="42" ht="34" spans="1:6">
      <c r="A42" s="3" t="s">
        <v>913</v>
      </c>
      <c r="B42" s="3" t="s">
        <v>745</v>
      </c>
      <c r="C42" s="3" t="s">
        <v>915</v>
      </c>
      <c r="D42" s="3" t="s">
        <v>999</v>
      </c>
      <c r="E42" s="3" t="s">
        <v>275</v>
      </c>
      <c r="F42" s="3" t="s">
        <v>1000</v>
      </c>
    </row>
    <row r="43" ht="51" spans="1:6">
      <c r="A43" s="7" t="s">
        <v>1001</v>
      </c>
      <c r="B43" s="7" t="s">
        <v>763</v>
      </c>
      <c r="C43" s="7" t="s">
        <v>1002</v>
      </c>
      <c r="D43" s="7" t="s">
        <v>1003</v>
      </c>
      <c r="E43" s="9">
        <v>120</v>
      </c>
      <c r="F43" s="7" t="s">
        <v>1004</v>
      </c>
    </row>
    <row r="44" ht="51" spans="1:6">
      <c r="A44" s="10" t="s">
        <v>1005</v>
      </c>
      <c r="B44" s="10" t="s">
        <v>766</v>
      </c>
      <c r="C44" s="10" t="s">
        <v>1006</v>
      </c>
      <c r="D44" s="10" t="s">
        <v>1007</v>
      </c>
      <c r="E44" s="11">
        <v>120</v>
      </c>
      <c r="F44" s="10" t="s">
        <v>1008</v>
      </c>
    </row>
    <row r="45" ht="84" spans="1:6">
      <c r="A45" s="10" t="s">
        <v>1009</v>
      </c>
      <c r="B45" s="10" t="s">
        <v>769</v>
      </c>
      <c r="C45" s="10" t="s">
        <v>1010</v>
      </c>
      <c r="D45" s="10" t="s">
        <v>1011</v>
      </c>
      <c r="E45" s="11">
        <v>120</v>
      </c>
      <c r="F45" s="10" t="s">
        <v>1012</v>
      </c>
    </row>
    <row r="46" ht="51" spans="1:6">
      <c r="A46" s="10" t="s">
        <v>1013</v>
      </c>
      <c r="B46" s="10" t="s">
        <v>772</v>
      </c>
      <c r="C46" s="10" t="s">
        <v>1014</v>
      </c>
      <c r="D46" s="10" t="s">
        <v>1015</v>
      </c>
      <c r="E46" s="11">
        <v>120</v>
      </c>
      <c r="F46" s="10" t="s">
        <v>1016</v>
      </c>
    </row>
    <row r="47" ht="34" spans="1:6">
      <c r="A47" s="10" t="s">
        <v>1017</v>
      </c>
      <c r="B47" s="10" t="s">
        <v>775</v>
      </c>
      <c r="C47" s="10" t="s">
        <v>1018</v>
      </c>
      <c r="D47" s="10" t="s">
        <v>1019</v>
      </c>
      <c r="E47" s="11">
        <v>130</v>
      </c>
      <c r="F47" s="10" t="s">
        <v>1020</v>
      </c>
    </row>
    <row r="48" ht="34" spans="1:6">
      <c r="A48" s="10" t="s">
        <v>1021</v>
      </c>
      <c r="B48" s="10" t="s">
        <v>778</v>
      </c>
      <c r="C48" s="10" t="s">
        <v>1022</v>
      </c>
      <c r="D48" s="10" t="s">
        <v>1023</v>
      </c>
      <c r="E48" s="11">
        <v>130</v>
      </c>
      <c r="F48" s="10" t="s">
        <v>1024</v>
      </c>
    </row>
    <row r="49" ht="34" spans="1:6">
      <c r="A49" s="10" t="s">
        <v>1025</v>
      </c>
      <c r="B49" s="10" t="s">
        <v>750</v>
      </c>
      <c r="C49" s="10" t="s">
        <v>1026</v>
      </c>
      <c r="D49" s="10" t="s">
        <v>1027</v>
      </c>
      <c r="E49" s="11">
        <v>120</v>
      </c>
      <c r="F49" s="10" t="s">
        <v>1028</v>
      </c>
    </row>
  </sheetData>
  <mergeCells count="10">
    <mergeCell ref="A1:H1"/>
    <mergeCell ref="A2:H2"/>
    <mergeCell ref="A4:F4"/>
    <mergeCell ref="A5:F5"/>
    <mergeCell ref="A14:F14"/>
    <mergeCell ref="A15:F15"/>
    <mergeCell ref="A33:G33"/>
    <mergeCell ref="A34:G34"/>
    <mergeCell ref="A40:F40"/>
    <mergeCell ref="A41:F41"/>
  </mergeCells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8"/>
  <sheetViews>
    <sheetView showGridLines="0" workbookViewId="0">
      <selection activeCell="A1" sqref="A1:T1"/>
    </sheetView>
  </sheetViews>
  <sheetFormatPr defaultColWidth="9" defaultRowHeight="16.8"/>
  <cols>
    <col min="1" max="1" width="9" customWidth="1"/>
    <col min="2" max="2" width="10" customWidth="1"/>
    <col min="3" max="3" width="25" customWidth="1"/>
    <col min="4" max="4" width="18" customWidth="1"/>
    <col min="5" max="5" width="8" customWidth="1"/>
    <col min="6" max="6" width="12" customWidth="1"/>
    <col min="7" max="13" width="9" customWidth="1"/>
    <col min="14" max="16" width="12" customWidth="1"/>
    <col min="17" max="17" width="55" customWidth="1"/>
    <col min="18" max="18" width="36" customWidth="1"/>
    <col min="19" max="19" width="38" customWidth="1"/>
    <col min="20" max="20" width="22" customWidth="1"/>
  </cols>
  <sheetData>
    <row r="1" ht="30" customHeight="1" spans="1:20">
      <c r="A1" s="1" t="s">
        <v>1029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30" customHeight="1" spans="1:20">
      <c r="A2" s="2" t="s">
        <v>1030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ht="17" spans="1:20">
      <c r="A4" s="3" t="s">
        <v>502</v>
      </c>
      <c r="B4" s="3" t="s">
        <v>1031</v>
      </c>
      <c r="C4" s="3" t="s">
        <v>207</v>
      </c>
      <c r="D4" s="3" t="s">
        <v>1032</v>
      </c>
      <c r="E4" s="3" t="s">
        <v>1033</v>
      </c>
      <c r="F4" s="3" t="s">
        <v>363</v>
      </c>
      <c r="G4" s="3" t="s">
        <v>238</v>
      </c>
      <c r="H4" s="3" t="s">
        <v>239</v>
      </c>
      <c r="I4" s="3" t="s">
        <v>240</v>
      </c>
      <c r="J4" s="3" t="s">
        <v>241</v>
      </c>
      <c r="K4" s="3" t="s">
        <v>242</v>
      </c>
      <c r="L4" s="3" t="s">
        <v>243</v>
      </c>
      <c r="M4" s="3" t="s">
        <v>244</v>
      </c>
      <c r="N4" s="3" t="s">
        <v>1034</v>
      </c>
      <c r="O4" s="3" t="s">
        <v>1035</v>
      </c>
      <c r="P4" s="3" t="s">
        <v>1036</v>
      </c>
      <c r="Q4" s="3" t="s">
        <v>1037</v>
      </c>
      <c r="R4" s="3" t="s">
        <v>1038</v>
      </c>
      <c r="S4" s="3" t="s">
        <v>79</v>
      </c>
      <c r="T4" s="3" t="s">
        <v>1039</v>
      </c>
    </row>
    <row r="5" ht="17" spans="1:20">
      <c r="A5" s="20">
        <v>1</v>
      </c>
      <c r="B5" s="20" t="s">
        <v>1040</v>
      </c>
      <c r="C5" s="20" t="s">
        <v>1041</v>
      </c>
      <c r="D5" s="20" t="s">
        <v>1042</v>
      </c>
      <c r="E5" s="20">
        <v>2</v>
      </c>
      <c r="F5" s="20">
        <v>420</v>
      </c>
      <c r="G5" s="20">
        <v>12</v>
      </c>
      <c r="H5" s="20">
        <v>2</v>
      </c>
      <c r="I5" s="20">
        <v>10</v>
      </c>
      <c r="J5" s="20">
        <v>18</v>
      </c>
      <c r="K5" s="20">
        <v>8</v>
      </c>
      <c r="L5" s="20">
        <v>5</v>
      </c>
      <c r="M5" s="20">
        <v>6</v>
      </c>
      <c r="N5" s="21">
        <f t="shared" ref="N5:N38" si="0">SUM(G5:M5)</f>
        <v>61</v>
      </c>
      <c r="O5" s="20">
        <v>12</v>
      </c>
      <c r="P5" s="20">
        <v>6</v>
      </c>
      <c r="Q5" s="19" t="s">
        <v>1043</v>
      </c>
      <c r="R5" s="19" t="s">
        <v>1044</v>
      </c>
      <c r="S5" s="19" t="s">
        <v>1045</v>
      </c>
      <c r="T5" s="19" t="s">
        <v>538</v>
      </c>
    </row>
    <row r="6" ht="17" spans="1:20">
      <c r="A6" s="20">
        <v>1</v>
      </c>
      <c r="B6" s="20" t="s">
        <v>1040</v>
      </c>
      <c r="C6" s="20" t="s">
        <v>1046</v>
      </c>
      <c r="D6" s="20" t="s">
        <v>1047</v>
      </c>
      <c r="E6" s="20">
        <v>3</v>
      </c>
      <c r="F6" s="20">
        <v>650</v>
      </c>
      <c r="G6" s="20">
        <v>16</v>
      </c>
      <c r="H6" s="20">
        <v>6</v>
      </c>
      <c r="I6" s="20">
        <v>8</v>
      </c>
      <c r="J6" s="20">
        <v>8</v>
      </c>
      <c r="K6" s="20">
        <v>16</v>
      </c>
      <c r="L6" s="20">
        <v>15</v>
      </c>
      <c r="M6" s="20">
        <v>9</v>
      </c>
      <c r="N6" s="21">
        <f t="shared" si="0"/>
        <v>78</v>
      </c>
      <c r="O6" s="20">
        <v>14</v>
      </c>
      <c r="P6" s="20">
        <v>7</v>
      </c>
      <c r="Q6" s="19" t="s">
        <v>1048</v>
      </c>
      <c r="R6" s="19" t="s">
        <v>1049</v>
      </c>
      <c r="S6" s="19" t="s">
        <v>1045</v>
      </c>
      <c r="T6" s="19" t="s">
        <v>538</v>
      </c>
    </row>
    <row r="7" ht="17" spans="1:20">
      <c r="A7" s="20">
        <v>1</v>
      </c>
      <c r="B7" s="20" t="s">
        <v>1040</v>
      </c>
      <c r="C7" s="20" t="s">
        <v>1050</v>
      </c>
      <c r="D7" s="20" t="s">
        <v>1051</v>
      </c>
      <c r="E7" s="20">
        <v>4</v>
      </c>
      <c r="F7" s="20">
        <v>780</v>
      </c>
      <c r="G7" s="20">
        <v>20</v>
      </c>
      <c r="H7" s="20">
        <v>3</v>
      </c>
      <c r="I7" s="20">
        <v>8</v>
      </c>
      <c r="J7" s="20">
        <v>9</v>
      </c>
      <c r="K7" s="20">
        <v>20</v>
      </c>
      <c r="L7" s="20">
        <v>18</v>
      </c>
      <c r="M7" s="20">
        <v>7</v>
      </c>
      <c r="N7" s="21">
        <f t="shared" si="0"/>
        <v>85</v>
      </c>
      <c r="O7" s="20">
        <v>16</v>
      </c>
      <c r="P7" s="20">
        <v>8</v>
      </c>
      <c r="Q7" s="19" t="s">
        <v>1052</v>
      </c>
      <c r="R7" s="19" t="s">
        <v>1053</v>
      </c>
      <c r="S7" s="19" t="s">
        <v>1045</v>
      </c>
      <c r="T7" s="19" t="s">
        <v>538</v>
      </c>
    </row>
    <row r="8" ht="17" spans="1:20">
      <c r="A8" s="20">
        <v>1</v>
      </c>
      <c r="B8" s="20" t="s">
        <v>1040</v>
      </c>
      <c r="C8" s="20" t="s">
        <v>1054</v>
      </c>
      <c r="D8" s="20" t="s">
        <v>1055</v>
      </c>
      <c r="E8" s="20">
        <v>5</v>
      </c>
      <c r="F8" s="20">
        <v>620</v>
      </c>
      <c r="G8" s="20">
        <v>5</v>
      </c>
      <c r="H8" s="20">
        <v>22</v>
      </c>
      <c r="I8" s="20">
        <v>14</v>
      </c>
      <c r="J8" s="20">
        <v>14</v>
      </c>
      <c r="K8" s="20">
        <v>10</v>
      </c>
      <c r="L8" s="20">
        <v>7</v>
      </c>
      <c r="M8" s="20">
        <v>19</v>
      </c>
      <c r="N8" s="21">
        <f t="shared" si="0"/>
        <v>91</v>
      </c>
      <c r="O8" s="20">
        <v>17</v>
      </c>
      <c r="P8" s="20">
        <v>8</v>
      </c>
      <c r="Q8" s="19" t="s">
        <v>1056</v>
      </c>
      <c r="R8" s="19" t="s">
        <v>1057</v>
      </c>
      <c r="S8" s="19" t="s">
        <v>1045</v>
      </c>
      <c r="T8" s="19" t="s">
        <v>538</v>
      </c>
    </row>
    <row r="9" ht="17" spans="1:20">
      <c r="A9" s="20">
        <v>1</v>
      </c>
      <c r="B9" s="20" t="s">
        <v>1040</v>
      </c>
      <c r="C9" s="20" t="s">
        <v>1058</v>
      </c>
      <c r="D9" s="20" t="s">
        <v>1059</v>
      </c>
      <c r="E9" s="20">
        <v>6</v>
      </c>
      <c r="F9" s="20">
        <v>1200</v>
      </c>
      <c r="G9" s="20">
        <v>27</v>
      </c>
      <c r="H9" s="20">
        <v>3</v>
      </c>
      <c r="I9" s="20">
        <v>9</v>
      </c>
      <c r="J9" s="20">
        <v>7</v>
      </c>
      <c r="K9" s="20">
        <v>30</v>
      </c>
      <c r="L9" s="20">
        <v>28</v>
      </c>
      <c r="M9" s="20">
        <v>12</v>
      </c>
      <c r="N9" s="21">
        <f t="shared" si="0"/>
        <v>116</v>
      </c>
      <c r="O9" s="20">
        <v>18</v>
      </c>
      <c r="P9" s="20">
        <v>9</v>
      </c>
      <c r="Q9" s="19" t="s">
        <v>1060</v>
      </c>
      <c r="R9" s="19" t="s">
        <v>1061</v>
      </c>
      <c r="S9" s="19" t="s">
        <v>1045</v>
      </c>
      <c r="T9" s="19" t="s">
        <v>538</v>
      </c>
    </row>
    <row r="10" ht="34" spans="1:20">
      <c r="A10" s="20">
        <v>1</v>
      </c>
      <c r="B10" s="20" t="s">
        <v>1062</v>
      </c>
      <c r="C10" s="20" t="s">
        <v>1063</v>
      </c>
      <c r="D10" s="20" t="s">
        <v>1064</v>
      </c>
      <c r="E10" s="20">
        <v>6</v>
      </c>
      <c r="F10" s="20">
        <v>2600</v>
      </c>
      <c r="G10" s="20">
        <v>32</v>
      </c>
      <c r="H10" s="20">
        <v>4</v>
      </c>
      <c r="I10" s="20">
        <v>12</v>
      </c>
      <c r="J10" s="20">
        <v>8</v>
      </c>
      <c r="K10" s="20">
        <v>42</v>
      </c>
      <c r="L10" s="20">
        <v>36</v>
      </c>
      <c r="M10" s="20">
        <v>15</v>
      </c>
      <c r="N10" s="21">
        <f t="shared" si="0"/>
        <v>149</v>
      </c>
      <c r="O10" s="20">
        <v>60</v>
      </c>
      <c r="P10" s="20">
        <v>30</v>
      </c>
      <c r="Q10" s="19" t="s">
        <v>1065</v>
      </c>
      <c r="R10" s="19" t="s">
        <v>1066</v>
      </c>
      <c r="S10" s="19" t="s">
        <v>1067</v>
      </c>
      <c r="T10" s="19" t="s">
        <v>538</v>
      </c>
    </row>
    <row r="11" ht="34" spans="1:20">
      <c r="A11" s="20">
        <v>1</v>
      </c>
      <c r="B11" s="20" t="s">
        <v>1062</v>
      </c>
      <c r="C11" s="20" t="s">
        <v>1068</v>
      </c>
      <c r="D11" s="20" t="s">
        <v>1069</v>
      </c>
      <c r="E11" s="20">
        <v>7</v>
      </c>
      <c r="F11" s="20">
        <v>2300</v>
      </c>
      <c r="G11" s="20">
        <v>27</v>
      </c>
      <c r="H11" s="20">
        <v>18</v>
      </c>
      <c r="I11" s="20">
        <v>18</v>
      </c>
      <c r="J11" s="20">
        <v>12</v>
      </c>
      <c r="K11" s="20">
        <v>35</v>
      </c>
      <c r="L11" s="20">
        <v>24</v>
      </c>
      <c r="M11" s="20">
        <v>22</v>
      </c>
      <c r="N11" s="21">
        <f t="shared" si="0"/>
        <v>156</v>
      </c>
      <c r="O11" s="20">
        <v>55</v>
      </c>
      <c r="P11" s="20">
        <v>28</v>
      </c>
      <c r="Q11" s="19" t="s">
        <v>1070</v>
      </c>
      <c r="R11" s="19" t="s">
        <v>1071</v>
      </c>
      <c r="S11" s="19" t="s">
        <v>1067</v>
      </c>
      <c r="T11" s="19" t="s">
        <v>538</v>
      </c>
    </row>
    <row r="12" ht="17" spans="1:20">
      <c r="A12" s="20">
        <v>2</v>
      </c>
      <c r="B12" s="20" t="s">
        <v>1040</v>
      </c>
      <c r="C12" s="20" t="s">
        <v>1072</v>
      </c>
      <c r="D12" s="20" t="s">
        <v>1073</v>
      </c>
      <c r="E12" s="20">
        <v>9</v>
      </c>
      <c r="F12" s="20">
        <v>1300</v>
      </c>
      <c r="G12" s="20">
        <v>36</v>
      </c>
      <c r="H12" s="20">
        <v>5</v>
      </c>
      <c r="I12" s="20">
        <v>16</v>
      </c>
      <c r="J12" s="20">
        <v>14</v>
      </c>
      <c r="K12" s="20">
        <v>38</v>
      </c>
      <c r="L12" s="20">
        <v>32</v>
      </c>
      <c r="M12" s="20">
        <v>15</v>
      </c>
      <c r="N12" s="21">
        <f t="shared" si="0"/>
        <v>156</v>
      </c>
      <c r="O12" s="20">
        <v>25</v>
      </c>
      <c r="P12" s="20">
        <v>11</v>
      </c>
      <c r="Q12" s="19" t="s">
        <v>1074</v>
      </c>
      <c r="R12" s="19" t="s">
        <v>1075</v>
      </c>
      <c r="S12" s="19" t="s">
        <v>1076</v>
      </c>
      <c r="T12" s="19" t="s">
        <v>538</v>
      </c>
    </row>
    <row r="13" ht="17" spans="1:20">
      <c r="A13" s="20">
        <v>2</v>
      </c>
      <c r="B13" s="20" t="s">
        <v>1040</v>
      </c>
      <c r="C13" s="20" t="s">
        <v>1077</v>
      </c>
      <c r="D13" s="20" t="s">
        <v>1078</v>
      </c>
      <c r="E13" s="20">
        <v>9</v>
      </c>
      <c r="F13" s="20">
        <v>1100</v>
      </c>
      <c r="G13" s="20">
        <v>12</v>
      </c>
      <c r="H13" s="20">
        <v>30</v>
      </c>
      <c r="I13" s="20">
        <v>24</v>
      </c>
      <c r="J13" s="20">
        <v>9</v>
      </c>
      <c r="K13" s="20">
        <v>30</v>
      </c>
      <c r="L13" s="20">
        <v>16</v>
      </c>
      <c r="M13" s="20">
        <v>30</v>
      </c>
      <c r="N13" s="21">
        <f t="shared" si="0"/>
        <v>151</v>
      </c>
      <c r="O13" s="20">
        <v>27</v>
      </c>
      <c r="P13" s="20">
        <v>12</v>
      </c>
      <c r="Q13" s="19" t="s">
        <v>1079</v>
      </c>
      <c r="R13" s="19" t="s">
        <v>1080</v>
      </c>
      <c r="S13" s="19" t="s">
        <v>1076</v>
      </c>
      <c r="T13" s="19" t="s">
        <v>538</v>
      </c>
    </row>
    <row r="14" ht="17" spans="1:20">
      <c r="A14" s="20">
        <v>2</v>
      </c>
      <c r="B14" s="20" t="s">
        <v>1040</v>
      </c>
      <c r="C14" s="20" t="s">
        <v>1081</v>
      </c>
      <c r="D14" s="20" t="s">
        <v>1082</v>
      </c>
      <c r="E14" s="20">
        <v>10</v>
      </c>
      <c r="F14" s="20">
        <v>1400</v>
      </c>
      <c r="G14" s="20">
        <v>18</v>
      </c>
      <c r="H14" s="20">
        <v>34</v>
      </c>
      <c r="I14" s="20">
        <v>28</v>
      </c>
      <c r="J14" s="20">
        <v>18</v>
      </c>
      <c r="K14" s="20">
        <v>32</v>
      </c>
      <c r="L14" s="20">
        <v>18</v>
      </c>
      <c r="M14" s="20">
        <v>34</v>
      </c>
      <c r="N14" s="21">
        <f t="shared" si="0"/>
        <v>182</v>
      </c>
      <c r="O14" s="20">
        <v>30</v>
      </c>
      <c r="P14" s="20">
        <v>14</v>
      </c>
      <c r="Q14" s="19" t="s">
        <v>1083</v>
      </c>
      <c r="R14" s="19" t="s">
        <v>1084</v>
      </c>
      <c r="S14" s="19" t="s">
        <v>1076</v>
      </c>
      <c r="T14" s="19" t="s">
        <v>538</v>
      </c>
    </row>
    <row r="15" ht="17" spans="1:20">
      <c r="A15" s="20">
        <v>2</v>
      </c>
      <c r="B15" s="20" t="s">
        <v>1040</v>
      </c>
      <c r="C15" s="20" t="s">
        <v>1085</v>
      </c>
      <c r="D15" s="20" t="s">
        <v>1086</v>
      </c>
      <c r="E15" s="20">
        <v>11</v>
      </c>
      <c r="F15" s="20">
        <v>1150</v>
      </c>
      <c r="G15" s="20">
        <v>15</v>
      </c>
      <c r="H15" s="20">
        <v>38</v>
      </c>
      <c r="I15" s="20">
        <v>32</v>
      </c>
      <c r="J15" s="20">
        <v>32</v>
      </c>
      <c r="K15" s="20">
        <v>22</v>
      </c>
      <c r="L15" s="20">
        <v>15</v>
      </c>
      <c r="M15" s="20">
        <v>35</v>
      </c>
      <c r="N15" s="21">
        <f t="shared" si="0"/>
        <v>189</v>
      </c>
      <c r="O15" s="20">
        <v>32</v>
      </c>
      <c r="P15" s="20">
        <v>14</v>
      </c>
      <c r="Q15" s="19" t="s">
        <v>1087</v>
      </c>
      <c r="R15" s="19" t="s">
        <v>1088</v>
      </c>
      <c r="S15" s="19" t="s">
        <v>1076</v>
      </c>
      <c r="T15" s="19" t="s">
        <v>538</v>
      </c>
    </row>
    <row r="16" ht="17" spans="1:20">
      <c r="A16" s="20">
        <v>2</v>
      </c>
      <c r="B16" s="20" t="s">
        <v>1040</v>
      </c>
      <c r="C16" s="20" t="s">
        <v>1089</v>
      </c>
      <c r="D16" s="20" t="s">
        <v>1090</v>
      </c>
      <c r="E16" s="20">
        <v>12</v>
      </c>
      <c r="F16" s="20">
        <v>1250</v>
      </c>
      <c r="G16" s="20">
        <v>8</v>
      </c>
      <c r="H16" s="20">
        <v>42</v>
      </c>
      <c r="I16" s="20">
        <v>38</v>
      </c>
      <c r="J16" s="20">
        <v>24</v>
      </c>
      <c r="K16" s="20">
        <v>20</v>
      </c>
      <c r="L16" s="20">
        <v>12</v>
      </c>
      <c r="M16" s="20">
        <v>42</v>
      </c>
      <c r="N16" s="21">
        <f t="shared" si="0"/>
        <v>186</v>
      </c>
      <c r="O16" s="20">
        <v>35</v>
      </c>
      <c r="P16" s="20">
        <v>16</v>
      </c>
      <c r="Q16" s="19" t="s">
        <v>1091</v>
      </c>
      <c r="R16" s="19" t="s">
        <v>1092</v>
      </c>
      <c r="S16" s="19" t="s">
        <v>1076</v>
      </c>
      <c r="T16" s="19" t="s">
        <v>538</v>
      </c>
    </row>
    <row r="17" ht="17" spans="1:20">
      <c r="A17" s="20">
        <v>2</v>
      </c>
      <c r="B17" s="20" t="s">
        <v>1062</v>
      </c>
      <c r="C17" s="20" t="s">
        <v>538</v>
      </c>
      <c r="D17" s="20" t="s">
        <v>1093</v>
      </c>
      <c r="E17" s="20">
        <v>12</v>
      </c>
      <c r="F17" s="20">
        <v>4200</v>
      </c>
      <c r="G17" s="20">
        <v>48</v>
      </c>
      <c r="H17" s="20">
        <v>8</v>
      </c>
      <c r="I17" s="20">
        <v>24</v>
      </c>
      <c r="J17" s="20">
        <v>15</v>
      </c>
      <c r="K17" s="20">
        <v>60</v>
      </c>
      <c r="L17" s="20">
        <v>45</v>
      </c>
      <c r="M17" s="20">
        <v>24</v>
      </c>
      <c r="N17" s="21">
        <f t="shared" si="0"/>
        <v>224</v>
      </c>
      <c r="O17" s="20">
        <v>100</v>
      </c>
      <c r="P17" s="20">
        <v>45</v>
      </c>
      <c r="Q17" s="19" t="s">
        <v>1094</v>
      </c>
      <c r="R17" s="19" t="s">
        <v>1095</v>
      </c>
      <c r="S17" s="19" t="s">
        <v>1096</v>
      </c>
      <c r="T17" s="19" t="s">
        <v>1097</v>
      </c>
    </row>
    <row r="18" ht="17" spans="1:20">
      <c r="A18" s="20">
        <v>2</v>
      </c>
      <c r="B18" s="20" t="s">
        <v>1062</v>
      </c>
      <c r="C18" s="20" t="s">
        <v>538</v>
      </c>
      <c r="D18" s="20" t="s">
        <v>1098</v>
      </c>
      <c r="E18" s="20">
        <v>12</v>
      </c>
      <c r="F18" s="20">
        <v>3800</v>
      </c>
      <c r="G18" s="20">
        <v>20</v>
      </c>
      <c r="H18" s="20">
        <v>55</v>
      </c>
      <c r="I18" s="20">
        <v>42</v>
      </c>
      <c r="J18" s="20">
        <v>24</v>
      </c>
      <c r="K18" s="20">
        <v>52</v>
      </c>
      <c r="L18" s="20">
        <v>24</v>
      </c>
      <c r="M18" s="20">
        <v>48</v>
      </c>
      <c r="N18" s="21">
        <f t="shared" si="0"/>
        <v>265</v>
      </c>
      <c r="O18" s="20">
        <v>110</v>
      </c>
      <c r="P18" s="20">
        <v>50</v>
      </c>
      <c r="Q18" s="19" t="s">
        <v>1099</v>
      </c>
      <c r="R18" s="19" t="s">
        <v>1100</v>
      </c>
      <c r="S18" s="19" t="s">
        <v>1096</v>
      </c>
      <c r="T18" s="19" t="s">
        <v>1097</v>
      </c>
    </row>
    <row r="19" ht="17" spans="1:20">
      <c r="A19" s="20">
        <v>2</v>
      </c>
      <c r="B19" s="20" t="s">
        <v>1062</v>
      </c>
      <c r="C19" s="20" t="s">
        <v>538</v>
      </c>
      <c r="D19" s="20" t="s">
        <v>1101</v>
      </c>
      <c r="E19" s="20">
        <v>13</v>
      </c>
      <c r="F19" s="20">
        <v>4800</v>
      </c>
      <c r="G19" s="20">
        <v>30</v>
      </c>
      <c r="H19" s="20">
        <v>50</v>
      </c>
      <c r="I19" s="20">
        <v>46</v>
      </c>
      <c r="J19" s="20">
        <v>20</v>
      </c>
      <c r="K19" s="20">
        <v>58</v>
      </c>
      <c r="L19" s="20">
        <v>40</v>
      </c>
      <c r="M19" s="20">
        <v>50</v>
      </c>
      <c r="N19" s="21">
        <f t="shared" si="0"/>
        <v>294</v>
      </c>
      <c r="O19" s="20">
        <v>120</v>
      </c>
      <c r="P19" s="20">
        <v>55</v>
      </c>
      <c r="Q19" s="19" t="s">
        <v>1102</v>
      </c>
      <c r="R19" s="19" t="s">
        <v>1103</v>
      </c>
      <c r="S19" s="19" t="s">
        <v>1096</v>
      </c>
      <c r="T19" s="19" t="s">
        <v>1097</v>
      </c>
    </row>
    <row r="20" ht="17" spans="1:20">
      <c r="A20" s="20">
        <v>3</v>
      </c>
      <c r="B20" s="20" t="s">
        <v>1040</v>
      </c>
      <c r="C20" s="20" t="s">
        <v>538</v>
      </c>
      <c r="D20" s="20" t="s">
        <v>1104</v>
      </c>
      <c r="E20" s="20">
        <v>15</v>
      </c>
      <c r="F20" s="20">
        <v>2200</v>
      </c>
      <c r="G20" s="20">
        <v>48</v>
      </c>
      <c r="H20" s="20">
        <v>20</v>
      </c>
      <c r="I20" s="20">
        <v>45</v>
      </c>
      <c r="J20" s="20">
        <v>38</v>
      </c>
      <c r="K20" s="20">
        <v>38</v>
      </c>
      <c r="L20" s="20">
        <v>35</v>
      </c>
      <c r="M20" s="20">
        <v>38</v>
      </c>
      <c r="N20" s="21">
        <f t="shared" si="0"/>
        <v>262</v>
      </c>
      <c r="O20" s="20">
        <v>45</v>
      </c>
      <c r="P20" s="20">
        <v>18</v>
      </c>
      <c r="Q20" s="19" t="s">
        <v>1105</v>
      </c>
      <c r="R20" s="19" t="s">
        <v>1106</v>
      </c>
      <c r="S20" s="19" t="s">
        <v>1107</v>
      </c>
      <c r="T20" s="19" t="s">
        <v>1097</v>
      </c>
    </row>
    <row r="21" ht="17" spans="1:20">
      <c r="A21" s="20">
        <v>3</v>
      </c>
      <c r="B21" s="20" t="s">
        <v>1040</v>
      </c>
      <c r="C21" s="20" t="s">
        <v>538</v>
      </c>
      <c r="D21" s="20" t="s">
        <v>1108</v>
      </c>
      <c r="E21" s="20">
        <v>16</v>
      </c>
      <c r="F21" s="20">
        <v>3200</v>
      </c>
      <c r="G21" s="20">
        <v>58</v>
      </c>
      <c r="H21" s="20">
        <v>12</v>
      </c>
      <c r="I21" s="20">
        <v>30</v>
      </c>
      <c r="J21" s="20">
        <v>16</v>
      </c>
      <c r="K21" s="20">
        <v>70</v>
      </c>
      <c r="L21" s="20">
        <v>62</v>
      </c>
      <c r="M21" s="20">
        <v>34</v>
      </c>
      <c r="N21" s="21">
        <f t="shared" si="0"/>
        <v>282</v>
      </c>
      <c r="O21" s="20">
        <v>52</v>
      </c>
      <c r="P21" s="20">
        <v>21</v>
      </c>
      <c r="Q21" s="19" t="s">
        <v>1109</v>
      </c>
      <c r="R21" s="19" t="s">
        <v>1110</v>
      </c>
      <c r="S21" s="19" t="s">
        <v>1107</v>
      </c>
      <c r="T21" s="19" t="s">
        <v>1097</v>
      </c>
    </row>
    <row r="22" ht="17" spans="1:20">
      <c r="A22" s="20">
        <v>3</v>
      </c>
      <c r="B22" s="20" t="s">
        <v>1040</v>
      </c>
      <c r="C22" s="20" t="s">
        <v>538</v>
      </c>
      <c r="D22" s="20" t="s">
        <v>1111</v>
      </c>
      <c r="E22" s="20">
        <v>17</v>
      </c>
      <c r="F22" s="20">
        <v>2500</v>
      </c>
      <c r="G22" s="20">
        <v>42</v>
      </c>
      <c r="H22" s="20">
        <v>50</v>
      </c>
      <c r="I22" s="20">
        <v>58</v>
      </c>
      <c r="J22" s="20">
        <v>42</v>
      </c>
      <c r="K22" s="20">
        <v>42</v>
      </c>
      <c r="L22" s="20">
        <v>35</v>
      </c>
      <c r="M22" s="20">
        <v>44</v>
      </c>
      <c r="N22" s="21">
        <f t="shared" si="0"/>
        <v>313</v>
      </c>
      <c r="O22" s="20">
        <v>55</v>
      </c>
      <c r="P22" s="20">
        <v>22</v>
      </c>
      <c r="Q22" s="19" t="s">
        <v>1112</v>
      </c>
      <c r="R22" s="19" t="s">
        <v>1113</v>
      </c>
      <c r="S22" s="19" t="s">
        <v>1107</v>
      </c>
      <c r="T22" s="19" t="s">
        <v>1097</v>
      </c>
    </row>
    <row r="23" ht="17" spans="1:20">
      <c r="A23" s="20">
        <v>3</v>
      </c>
      <c r="B23" s="20" t="s">
        <v>1040</v>
      </c>
      <c r="C23" s="20" t="s">
        <v>538</v>
      </c>
      <c r="D23" s="20" t="s">
        <v>1114</v>
      </c>
      <c r="E23" s="20">
        <v>18</v>
      </c>
      <c r="F23" s="20">
        <v>2700</v>
      </c>
      <c r="G23" s="20">
        <v>35</v>
      </c>
      <c r="H23" s="20">
        <v>55</v>
      </c>
      <c r="I23" s="20">
        <v>62</v>
      </c>
      <c r="J23" s="20">
        <v>30</v>
      </c>
      <c r="K23" s="20">
        <v>48</v>
      </c>
      <c r="L23" s="20">
        <v>32</v>
      </c>
      <c r="M23" s="20">
        <v>58</v>
      </c>
      <c r="N23" s="21">
        <f t="shared" si="0"/>
        <v>320</v>
      </c>
      <c r="O23" s="20">
        <v>60</v>
      </c>
      <c r="P23" s="20">
        <v>24</v>
      </c>
      <c r="Q23" s="19" t="s">
        <v>1115</v>
      </c>
      <c r="R23" s="19" t="s">
        <v>1116</v>
      </c>
      <c r="S23" s="19" t="s">
        <v>1107</v>
      </c>
      <c r="T23" s="19" t="s">
        <v>1097</v>
      </c>
    </row>
    <row r="24" ht="17" spans="1:20">
      <c r="A24" s="20">
        <v>3</v>
      </c>
      <c r="B24" s="20" t="s">
        <v>1040</v>
      </c>
      <c r="C24" s="20" t="s">
        <v>538</v>
      </c>
      <c r="D24" s="20" t="s">
        <v>1117</v>
      </c>
      <c r="E24" s="20">
        <v>18</v>
      </c>
      <c r="F24" s="20">
        <v>3800</v>
      </c>
      <c r="G24" s="20">
        <v>68</v>
      </c>
      <c r="H24" s="20">
        <v>8</v>
      </c>
      <c r="I24" s="20">
        <v>32</v>
      </c>
      <c r="J24" s="20">
        <v>22</v>
      </c>
      <c r="K24" s="20">
        <v>82</v>
      </c>
      <c r="L24" s="20">
        <v>70</v>
      </c>
      <c r="M24" s="20">
        <v>28</v>
      </c>
      <c r="N24" s="21">
        <f t="shared" si="0"/>
        <v>310</v>
      </c>
      <c r="O24" s="20">
        <v>65</v>
      </c>
      <c r="P24" s="20">
        <v>26</v>
      </c>
      <c r="Q24" s="19" t="s">
        <v>1118</v>
      </c>
      <c r="R24" s="19" t="s">
        <v>1119</v>
      </c>
      <c r="S24" s="19" t="s">
        <v>1107</v>
      </c>
      <c r="T24" s="19" t="s">
        <v>1097</v>
      </c>
    </row>
    <row r="25" ht="17" spans="1:20">
      <c r="A25" s="20">
        <v>3</v>
      </c>
      <c r="B25" s="20" t="s">
        <v>1062</v>
      </c>
      <c r="C25" s="20" t="s">
        <v>538</v>
      </c>
      <c r="D25" s="20" t="s">
        <v>1120</v>
      </c>
      <c r="E25" s="20">
        <v>18</v>
      </c>
      <c r="F25" s="20">
        <v>7600</v>
      </c>
      <c r="G25" s="20">
        <v>72</v>
      </c>
      <c r="H25" s="20">
        <v>40</v>
      </c>
      <c r="I25" s="20">
        <v>60</v>
      </c>
      <c r="J25" s="20">
        <v>28</v>
      </c>
      <c r="K25" s="20">
        <v>95</v>
      </c>
      <c r="L25" s="20">
        <v>76</v>
      </c>
      <c r="M25" s="20">
        <v>60</v>
      </c>
      <c r="N25" s="21">
        <f t="shared" si="0"/>
        <v>431</v>
      </c>
      <c r="O25" s="20">
        <v>200</v>
      </c>
      <c r="P25" s="20">
        <v>80</v>
      </c>
      <c r="Q25" s="19" t="s">
        <v>1121</v>
      </c>
      <c r="R25" s="19" t="s">
        <v>1122</v>
      </c>
      <c r="S25" s="19" t="s">
        <v>1123</v>
      </c>
      <c r="T25" s="19" t="s">
        <v>1097</v>
      </c>
    </row>
    <row r="26" ht="17" spans="1:20">
      <c r="A26" s="20">
        <v>3</v>
      </c>
      <c r="B26" s="20" t="s">
        <v>1062</v>
      </c>
      <c r="C26" s="20" t="s">
        <v>538</v>
      </c>
      <c r="D26" s="20" t="s">
        <v>1124</v>
      </c>
      <c r="E26" s="20">
        <v>19</v>
      </c>
      <c r="F26" s="20">
        <v>6500</v>
      </c>
      <c r="G26" s="20">
        <v>38</v>
      </c>
      <c r="H26" s="20">
        <v>82</v>
      </c>
      <c r="I26" s="20">
        <v>90</v>
      </c>
      <c r="J26" s="20">
        <v>48</v>
      </c>
      <c r="K26" s="20">
        <v>65</v>
      </c>
      <c r="L26" s="20">
        <v>42</v>
      </c>
      <c r="M26" s="20">
        <v>78</v>
      </c>
      <c r="N26" s="21">
        <f t="shared" si="0"/>
        <v>443</v>
      </c>
      <c r="O26" s="20">
        <v>220</v>
      </c>
      <c r="P26" s="20">
        <v>88</v>
      </c>
      <c r="Q26" s="19" t="s">
        <v>1125</v>
      </c>
      <c r="R26" s="19" t="s">
        <v>1126</v>
      </c>
      <c r="S26" s="19" t="s">
        <v>1123</v>
      </c>
      <c r="T26" s="19" t="s">
        <v>1097</v>
      </c>
    </row>
    <row r="27" ht="17" spans="1:20">
      <c r="A27" s="20">
        <v>3</v>
      </c>
      <c r="B27" s="20" t="s">
        <v>1062</v>
      </c>
      <c r="C27" s="20" t="s">
        <v>538</v>
      </c>
      <c r="D27" s="20" t="s">
        <v>1127</v>
      </c>
      <c r="E27" s="20">
        <v>19</v>
      </c>
      <c r="F27" s="20">
        <v>6200</v>
      </c>
      <c r="G27" s="20">
        <v>86</v>
      </c>
      <c r="H27" s="20">
        <v>15</v>
      </c>
      <c r="I27" s="20">
        <v>76</v>
      </c>
      <c r="J27" s="20">
        <v>78</v>
      </c>
      <c r="K27" s="20">
        <v>55</v>
      </c>
      <c r="L27" s="20">
        <v>52</v>
      </c>
      <c r="M27" s="20">
        <v>45</v>
      </c>
      <c r="N27" s="21">
        <f t="shared" si="0"/>
        <v>407</v>
      </c>
      <c r="O27" s="20">
        <v>210</v>
      </c>
      <c r="P27" s="20">
        <v>84</v>
      </c>
      <c r="Q27" s="19" t="s">
        <v>1128</v>
      </c>
      <c r="R27" s="19" t="s">
        <v>1129</v>
      </c>
      <c r="S27" s="19" t="s">
        <v>1123</v>
      </c>
      <c r="T27" s="19" t="s">
        <v>1097</v>
      </c>
    </row>
    <row r="28" ht="17" spans="1:20">
      <c r="A28" s="20">
        <v>3</v>
      </c>
      <c r="B28" s="20" t="s">
        <v>1062</v>
      </c>
      <c r="C28" s="20" t="s">
        <v>538</v>
      </c>
      <c r="D28" s="20" t="s">
        <v>1130</v>
      </c>
      <c r="E28" s="20">
        <v>20</v>
      </c>
      <c r="F28" s="20">
        <v>9000</v>
      </c>
      <c r="G28" s="20">
        <v>92</v>
      </c>
      <c r="H28" s="20">
        <v>35</v>
      </c>
      <c r="I28" s="20">
        <v>62</v>
      </c>
      <c r="J28" s="20">
        <v>24</v>
      </c>
      <c r="K28" s="20">
        <v>115</v>
      </c>
      <c r="L28" s="20">
        <v>84</v>
      </c>
      <c r="M28" s="20">
        <v>68</v>
      </c>
      <c r="N28" s="21">
        <f t="shared" si="0"/>
        <v>480</v>
      </c>
      <c r="O28" s="20">
        <v>240</v>
      </c>
      <c r="P28" s="20">
        <v>96</v>
      </c>
      <c r="Q28" s="19" t="s">
        <v>1131</v>
      </c>
      <c r="R28" s="19" t="s">
        <v>1132</v>
      </c>
      <c r="S28" s="19" t="s">
        <v>1123</v>
      </c>
      <c r="T28" s="19" t="s">
        <v>1097</v>
      </c>
    </row>
    <row r="29" ht="17" spans="1:20">
      <c r="A29" s="20">
        <v>4</v>
      </c>
      <c r="B29" s="20" t="s">
        <v>1040</v>
      </c>
      <c r="C29" s="20" t="s">
        <v>538</v>
      </c>
      <c r="D29" s="20" t="s">
        <v>1133</v>
      </c>
      <c r="E29" s="20">
        <v>21</v>
      </c>
      <c r="F29" s="20">
        <v>4200</v>
      </c>
      <c r="G29" s="20">
        <v>95</v>
      </c>
      <c r="H29" s="20">
        <v>20</v>
      </c>
      <c r="I29" s="20">
        <v>60</v>
      </c>
      <c r="J29" s="20">
        <v>35</v>
      </c>
      <c r="K29" s="20">
        <v>110</v>
      </c>
      <c r="L29" s="20">
        <v>90</v>
      </c>
      <c r="M29" s="20">
        <v>55</v>
      </c>
      <c r="N29" s="21">
        <f t="shared" si="0"/>
        <v>465</v>
      </c>
      <c r="O29" s="20">
        <v>72</v>
      </c>
      <c r="P29" s="20">
        <v>26</v>
      </c>
      <c r="Q29" s="19" t="s">
        <v>1134</v>
      </c>
      <c r="R29" s="19" t="s">
        <v>1135</v>
      </c>
      <c r="S29" s="19" t="s">
        <v>1136</v>
      </c>
      <c r="T29" s="19" t="s">
        <v>1097</v>
      </c>
    </row>
    <row r="30" ht="17" spans="1:20">
      <c r="A30" s="20">
        <v>4</v>
      </c>
      <c r="B30" s="20" t="s">
        <v>1040</v>
      </c>
      <c r="C30" s="20" t="s">
        <v>538</v>
      </c>
      <c r="D30" s="20" t="s">
        <v>1137</v>
      </c>
      <c r="E30" s="20">
        <v>21</v>
      </c>
      <c r="F30" s="20">
        <v>3500</v>
      </c>
      <c r="G30" s="20">
        <v>30</v>
      </c>
      <c r="H30" s="20">
        <v>100</v>
      </c>
      <c r="I30" s="20">
        <v>92</v>
      </c>
      <c r="J30" s="20">
        <v>58</v>
      </c>
      <c r="K30" s="20">
        <v>72</v>
      </c>
      <c r="L30" s="20">
        <v>48</v>
      </c>
      <c r="M30" s="20">
        <v>96</v>
      </c>
      <c r="N30" s="21">
        <f t="shared" si="0"/>
        <v>496</v>
      </c>
      <c r="O30" s="20">
        <v>78</v>
      </c>
      <c r="P30" s="20">
        <v>28</v>
      </c>
      <c r="Q30" s="19" t="s">
        <v>1138</v>
      </c>
      <c r="R30" s="19" t="s">
        <v>1139</v>
      </c>
      <c r="S30" s="19" t="s">
        <v>1136</v>
      </c>
      <c r="T30" s="19" t="s">
        <v>1097</v>
      </c>
    </row>
    <row r="31" ht="17" spans="1:20">
      <c r="A31" s="20">
        <v>4</v>
      </c>
      <c r="B31" s="20" t="s">
        <v>1040</v>
      </c>
      <c r="C31" s="20" t="s">
        <v>538</v>
      </c>
      <c r="D31" s="20" t="s">
        <v>1140</v>
      </c>
      <c r="E31" s="20">
        <v>22</v>
      </c>
      <c r="F31" s="20">
        <v>3200</v>
      </c>
      <c r="G31" s="20">
        <v>25</v>
      </c>
      <c r="H31" s="20">
        <v>90</v>
      </c>
      <c r="I31" s="20">
        <v>110</v>
      </c>
      <c r="J31" s="20">
        <v>72</v>
      </c>
      <c r="K31" s="20">
        <v>60</v>
      </c>
      <c r="L31" s="20">
        <v>38</v>
      </c>
      <c r="M31" s="20">
        <v>88</v>
      </c>
      <c r="N31" s="21">
        <f t="shared" si="0"/>
        <v>483</v>
      </c>
      <c r="O31" s="20">
        <v>82</v>
      </c>
      <c r="P31" s="20">
        <v>29</v>
      </c>
      <c r="Q31" s="19" t="s">
        <v>1141</v>
      </c>
      <c r="R31" s="19" t="s">
        <v>1142</v>
      </c>
      <c r="S31" s="19" t="s">
        <v>1136</v>
      </c>
      <c r="T31" s="19" t="s">
        <v>1097</v>
      </c>
    </row>
    <row r="32" ht="17" spans="1:20">
      <c r="A32" s="20">
        <v>4</v>
      </c>
      <c r="B32" s="20" t="s">
        <v>1040</v>
      </c>
      <c r="C32" s="20" t="s">
        <v>538</v>
      </c>
      <c r="D32" s="20" t="s">
        <v>1143</v>
      </c>
      <c r="E32" s="20">
        <v>22</v>
      </c>
      <c r="F32" s="20">
        <v>5200</v>
      </c>
      <c r="G32" s="20">
        <v>115</v>
      </c>
      <c r="H32" s="20">
        <v>25</v>
      </c>
      <c r="I32" s="20">
        <v>65</v>
      </c>
      <c r="J32" s="20">
        <v>32</v>
      </c>
      <c r="K32" s="20">
        <v>130</v>
      </c>
      <c r="L32" s="20">
        <v>100</v>
      </c>
      <c r="M32" s="20">
        <v>60</v>
      </c>
      <c r="N32" s="21">
        <f t="shared" si="0"/>
        <v>527</v>
      </c>
      <c r="O32" s="20">
        <v>90</v>
      </c>
      <c r="P32" s="20">
        <v>32</v>
      </c>
      <c r="Q32" s="19" t="s">
        <v>1144</v>
      </c>
      <c r="R32" s="19" t="s">
        <v>1145</v>
      </c>
      <c r="S32" s="19" t="s">
        <v>1136</v>
      </c>
      <c r="T32" s="19" t="s">
        <v>1097</v>
      </c>
    </row>
    <row r="33" ht="17" spans="1:20">
      <c r="A33" s="20">
        <v>4</v>
      </c>
      <c r="B33" s="20" t="s">
        <v>1040</v>
      </c>
      <c r="C33" s="20" t="s">
        <v>538</v>
      </c>
      <c r="D33" s="20" t="s">
        <v>1146</v>
      </c>
      <c r="E33" s="20">
        <v>23</v>
      </c>
      <c r="F33" s="20">
        <v>3800</v>
      </c>
      <c r="G33" s="20">
        <v>45</v>
      </c>
      <c r="H33" s="20">
        <v>110</v>
      </c>
      <c r="I33" s="20">
        <v>105</v>
      </c>
      <c r="J33" s="20">
        <v>82</v>
      </c>
      <c r="K33" s="20">
        <v>75</v>
      </c>
      <c r="L33" s="20">
        <v>50</v>
      </c>
      <c r="M33" s="20">
        <v>105</v>
      </c>
      <c r="N33" s="21">
        <f t="shared" si="0"/>
        <v>572</v>
      </c>
      <c r="O33" s="20">
        <v>98</v>
      </c>
      <c r="P33" s="20">
        <v>35</v>
      </c>
      <c r="Q33" s="19" t="s">
        <v>1147</v>
      </c>
      <c r="R33" s="19" t="s">
        <v>1148</v>
      </c>
      <c r="S33" s="19" t="s">
        <v>1136</v>
      </c>
      <c r="T33" s="19" t="s">
        <v>1097</v>
      </c>
    </row>
    <row r="34" ht="34" spans="1:20">
      <c r="A34" s="20">
        <v>4</v>
      </c>
      <c r="B34" s="20" t="s">
        <v>1062</v>
      </c>
      <c r="C34" s="20" t="s">
        <v>538</v>
      </c>
      <c r="D34" s="20" t="s">
        <v>1149</v>
      </c>
      <c r="E34" s="20">
        <v>23</v>
      </c>
      <c r="F34" s="20">
        <v>10000</v>
      </c>
      <c r="G34" s="20">
        <v>130</v>
      </c>
      <c r="H34" s="20">
        <v>20</v>
      </c>
      <c r="I34" s="20">
        <v>75</v>
      </c>
      <c r="J34" s="20">
        <v>40</v>
      </c>
      <c r="K34" s="20">
        <v>165</v>
      </c>
      <c r="L34" s="20">
        <v>125</v>
      </c>
      <c r="M34" s="20">
        <v>72</v>
      </c>
      <c r="N34" s="21">
        <f t="shared" si="0"/>
        <v>627</v>
      </c>
      <c r="O34" s="20">
        <v>330</v>
      </c>
      <c r="P34" s="20">
        <v>116</v>
      </c>
      <c r="Q34" s="19" t="s">
        <v>1150</v>
      </c>
      <c r="R34" s="19" t="s">
        <v>1151</v>
      </c>
      <c r="S34" s="19" t="s">
        <v>1152</v>
      </c>
      <c r="T34" s="19" t="s">
        <v>1097</v>
      </c>
    </row>
    <row r="35" ht="17" spans="1:20">
      <c r="A35" s="20">
        <v>4</v>
      </c>
      <c r="B35" s="20" t="s">
        <v>1062</v>
      </c>
      <c r="C35" s="20" t="s">
        <v>538</v>
      </c>
      <c r="D35" s="20" t="s">
        <v>1153</v>
      </c>
      <c r="E35" s="20">
        <v>23</v>
      </c>
      <c r="F35" s="20">
        <v>8500</v>
      </c>
      <c r="G35" s="20">
        <v>40</v>
      </c>
      <c r="H35" s="20">
        <v>135</v>
      </c>
      <c r="I35" s="20">
        <v>125</v>
      </c>
      <c r="J35" s="20">
        <v>95</v>
      </c>
      <c r="K35" s="20">
        <v>100</v>
      </c>
      <c r="L35" s="20">
        <v>60</v>
      </c>
      <c r="M35" s="20">
        <v>120</v>
      </c>
      <c r="N35" s="21">
        <f t="shared" si="0"/>
        <v>675</v>
      </c>
      <c r="O35" s="20">
        <v>360</v>
      </c>
      <c r="P35" s="20">
        <v>126</v>
      </c>
      <c r="Q35" s="19" t="s">
        <v>1154</v>
      </c>
      <c r="R35" s="19" t="s">
        <v>1155</v>
      </c>
      <c r="S35" s="19" t="s">
        <v>1152</v>
      </c>
      <c r="T35" s="19" t="s">
        <v>1097</v>
      </c>
    </row>
    <row r="36" ht="17" spans="1:20">
      <c r="A36" s="20">
        <v>4</v>
      </c>
      <c r="B36" s="20" t="s">
        <v>1062</v>
      </c>
      <c r="C36" s="20" t="s">
        <v>538</v>
      </c>
      <c r="D36" s="20" t="s">
        <v>1156</v>
      </c>
      <c r="E36" s="20">
        <v>23</v>
      </c>
      <c r="F36" s="20">
        <v>9000</v>
      </c>
      <c r="G36" s="20">
        <v>85</v>
      </c>
      <c r="H36" s="20">
        <v>110</v>
      </c>
      <c r="I36" s="20">
        <v>100</v>
      </c>
      <c r="J36" s="20">
        <v>55</v>
      </c>
      <c r="K36" s="20">
        <v>125</v>
      </c>
      <c r="L36" s="20">
        <v>80</v>
      </c>
      <c r="M36" s="20">
        <v>105</v>
      </c>
      <c r="N36" s="21">
        <f t="shared" si="0"/>
        <v>660</v>
      </c>
      <c r="O36" s="20">
        <v>350</v>
      </c>
      <c r="P36" s="20">
        <v>122</v>
      </c>
      <c r="Q36" s="19" t="s">
        <v>1157</v>
      </c>
      <c r="R36" s="19" t="s">
        <v>1158</v>
      </c>
      <c r="S36" s="19" t="s">
        <v>1152</v>
      </c>
      <c r="T36" s="19" t="s">
        <v>1097</v>
      </c>
    </row>
    <row r="37" ht="17" spans="1:20">
      <c r="A37" s="20">
        <v>4</v>
      </c>
      <c r="B37" s="20" t="s">
        <v>1062</v>
      </c>
      <c r="C37" s="20" t="s">
        <v>538</v>
      </c>
      <c r="D37" s="20" t="s">
        <v>1159</v>
      </c>
      <c r="E37" s="20">
        <v>24</v>
      </c>
      <c r="F37" s="20">
        <v>11500</v>
      </c>
      <c r="G37" s="20">
        <v>145</v>
      </c>
      <c r="H37" s="20">
        <v>55</v>
      </c>
      <c r="I37" s="20">
        <v>90</v>
      </c>
      <c r="J37" s="20">
        <v>48</v>
      </c>
      <c r="K37" s="20">
        <v>180</v>
      </c>
      <c r="L37" s="20">
        <v>130</v>
      </c>
      <c r="M37" s="20">
        <v>100</v>
      </c>
      <c r="N37" s="21">
        <f t="shared" si="0"/>
        <v>748</v>
      </c>
      <c r="O37" s="20">
        <v>400</v>
      </c>
      <c r="P37" s="20">
        <v>140</v>
      </c>
      <c r="Q37" s="19" t="s">
        <v>1160</v>
      </c>
      <c r="R37" s="19" t="s">
        <v>1161</v>
      </c>
      <c r="S37" s="19" t="s">
        <v>1152</v>
      </c>
      <c r="T37" s="19" t="s">
        <v>1097</v>
      </c>
    </row>
    <row r="38" ht="17" spans="1:20">
      <c r="A38" s="20">
        <v>4</v>
      </c>
      <c r="B38" s="20" t="s">
        <v>1062</v>
      </c>
      <c r="C38" s="20" t="s">
        <v>538</v>
      </c>
      <c r="D38" s="20" t="s">
        <v>1162</v>
      </c>
      <c r="E38" s="20">
        <v>24</v>
      </c>
      <c r="F38" s="20">
        <v>8000</v>
      </c>
      <c r="G38" s="20">
        <v>75</v>
      </c>
      <c r="H38" s="20">
        <v>105</v>
      </c>
      <c r="I38" s="20">
        <v>120</v>
      </c>
      <c r="J38" s="20">
        <v>125</v>
      </c>
      <c r="K38" s="20">
        <v>90</v>
      </c>
      <c r="L38" s="20">
        <v>65</v>
      </c>
      <c r="M38" s="20">
        <v>90</v>
      </c>
      <c r="N38" s="21">
        <f t="shared" si="0"/>
        <v>670</v>
      </c>
      <c r="O38" s="20">
        <v>420</v>
      </c>
      <c r="P38" s="20">
        <v>147</v>
      </c>
      <c r="Q38" s="19" t="s">
        <v>1163</v>
      </c>
      <c r="R38" s="19" t="s">
        <v>1164</v>
      </c>
      <c r="S38" s="19" t="s">
        <v>1152</v>
      </c>
      <c r="T38" s="19" t="s">
        <v>1097</v>
      </c>
    </row>
  </sheetData>
  <mergeCells count="2">
    <mergeCell ref="A1:T1"/>
    <mergeCell ref="A2:T2"/>
  </mergeCells>
  <conditionalFormatting sqref="C5:C38">
    <cfRule type="expression" dxfId="2" priority="1">
      <formula>C5=""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6"/>
  <sheetViews>
    <sheetView showGridLines="0" workbookViewId="0">
      <selection activeCell="A1" sqref="A1:R1"/>
    </sheetView>
  </sheetViews>
  <sheetFormatPr defaultColWidth="9" defaultRowHeight="16.8"/>
  <cols>
    <col min="1" max="1" width="9" customWidth="1"/>
    <col min="2" max="2" width="28" customWidth="1"/>
    <col min="3" max="3" width="23" customWidth="1"/>
    <col min="4" max="4" width="24" customWidth="1"/>
    <col min="5" max="5" width="14" customWidth="1"/>
    <col min="6" max="6" width="30" customWidth="1"/>
    <col min="7" max="7" width="60" customWidth="1"/>
    <col min="8" max="8" width="38" customWidth="1"/>
    <col min="9" max="12" width="10" customWidth="1"/>
    <col min="13" max="13" width="12" customWidth="1"/>
    <col min="14" max="14" width="14" customWidth="1"/>
    <col min="15" max="15" width="56" customWidth="1"/>
    <col min="16" max="16" width="18" customWidth="1"/>
    <col min="17" max="18" width="12" customWidth="1"/>
  </cols>
  <sheetData>
    <row r="1" ht="30" customHeight="1" spans="1:18">
      <c r="A1" s="1" t="s">
        <v>1165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30" customHeight="1" spans="1:18">
      <c r="A2" s="2" t="s">
        <v>1166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ht="34" spans="1:16">
      <c r="A4" s="3" t="s">
        <v>502</v>
      </c>
      <c r="B4" s="3" t="s">
        <v>1167</v>
      </c>
      <c r="C4" s="3" t="s">
        <v>1033</v>
      </c>
      <c r="D4" s="3" t="s">
        <v>1168</v>
      </c>
      <c r="E4" s="3" t="s">
        <v>1169</v>
      </c>
      <c r="F4" s="3" t="s">
        <v>268</v>
      </c>
      <c r="G4" s="3" t="s">
        <v>269</v>
      </c>
      <c r="H4" s="3" t="s">
        <v>270</v>
      </c>
      <c r="I4" s="3" t="s">
        <v>271</v>
      </c>
      <c r="J4" s="3" t="s">
        <v>272</v>
      </c>
      <c r="K4" s="3" t="s">
        <v>273</v>
      </c>
      <c r="L4" s="3" t="s">
        <v>274</v>
      </c>
      <c r="M4" s="3" t="s">
        <v>1034</v>
      </c>
      <c r="N4" s="3" t="s">
        <v>1170</v>
      </c>
      <c r="O4" s="3" t="s">
        <v>1171</v>
      </c>
      <c r="P4" s="3" t="s">
        <v>1172</v>
      </c>
    </row>
    <row r="5" spans="1:16">
      <c r="A5" s="4">
        <v>1</v>
      </c>
      <c r="B5" s="4" t="s">
        <v>1173</v>
      </c>
      <c r="C5" s="4">
        <v>7</v>
      </c>
      <c r="D5" s="4">
        <v>6500</v>
      </c>
      <c r="E5" s="4">
        <v>0</v>
      </c>
      <c r="F5" s="4">
        <v>42</v>
      </c>
      <c r="G5" s="4">
        <v>12</v>
      </c>
      <c r="H5" s="4">
        <v>24</v>
      </c>
      <c r="I5" s="4">
        <v>10</v>
      </c>
      <c r="J5" s="4">
        <v>70</v>
      </c>
      <c r="K5" s="4">
        <v>48</v>
      </c>
      <c r="L5" s="4">
        <v>28</v>
      </c>
      <c r="M5" s="16">
        <f>SUM(F5:L5)</f>
        <v>234</v>
      </c>
      <c r="N5" s="4">
        <v>200</v>
      </c>
      <c r="O5" t="s">
        <v>1174</v>
      </c>
      <c r="P5" t="s">
        <v>1175</v>
      </c>
    </row>
    <row r="6" spans="1:16">
      <c r="A6" s="4">
        <v>2</v>
      </c>
      <c r="B6" s="4" t="s">
        <v>1176</v>
      </c>
      <c r="C6" s="4">
        <v>13</v>
      </c>
      <c r="D6" s="4">
        <v>12000</v>
      </c>
      <c r="E6" s="4">
        <v>1800</v>
      </c>
      <c r="F6" s="4">
        <v>62</v>
      </c>
      <c r="G6" s="4">
        <v>42</v>
      </c>
      <c r="H6" s="4">
        <v>45</v>
      </c>
      <c r="I6" s="4">
        <v>18</v>
      </c>
      <c r="J6" s="4">
        <v>90</v>
      </c>
      <c r="K6" s="4">
        <v>58</v>
      </c>
      <c r="L6" s="4">
        <v>45</v>
      </c>
      <c r="M6" s="16">
        <f>SUM(F6:L6)</f>
        <v>360</v>
      </c>
      <c r="N6" s="4">
        <v>700</v>
      </c>
      <c r="O6" t="s">
        <v>1177</v>
      </c>
      <c r="P6" t="s">
        <v>1178</v>
      </c>
    </row>
    <row r="7" spans="1:16">
      <c r="A7" s="4">
        <v>3</v>
      </c>
      <c r="B7" s="4" t="s">
        <v>1179</v>
      </c>
      <c r="C7" s="4">
        <v>20</v>
      </c>
      <c r="D7" s="4">
        <v>26000</v>
      </c>
      <c r="E7" s="4">
        <v>12000</v>
      </c>
      <c r="F7" s="4">
        <v>105</v>
      </c>
      <c r="G7" s="4">
        <v>88</v>
      </c>
      <c r="H7" s="4">
        <v>82</v>
      </c>
      <c r="I7" s="4">
        <v>28</v>
      </c>
      <c r="J7" s="4">
        <v>150</v>
      </c>
      <c r="K7" s="4">
        <v>92</v>
      </c>
      <c r="L7" s="4">
        <v>84</v>
      </c>
      <c r="M7" s="16">
        <f>SUM(F7:L7)</f>
        <v>629</v>
      </c>
      <c r="N7" s="4">
        <v>1800</v>
      </c>
      <c r="O7" t="s">
        <v>1180</v>
      </c>
      <c r="P7" t="s">
        <v>1175</v>
      </c>
    </row>
    <row r="8" spans="1:16">
      <c r="A8" s="4">
        <v>4</v>
      </c>
      <c r="B8" s="4" t="s">
        <v>1181</v>
      </c>
      <c r="C8" s="4">
        <v>24</v>
      </c>
      <c r="D8" s="4">
        <v>45000</v>
      </c>
      <c r="E8" s="4">
        <v>11000</v>
      </c>
      <c r="F8" s="4">
        <v>155</v>
      </c>
      <c r="G8" s="4">
        <v>120</v>
      </c>
      <c r="H8" s="4">
        <v>145</v>
      </c>
      <c r="I8" s="4">
        <v>105</v>
      </c>
      <c r="J8" s="4">
        <v>220</v>
      </c>
      <c r="K8" s="4">
        <v>120</v>
      </c>
      <c r="L8" s="4">
        <v>115</v>
      </c>
      <c r="M8" s="16">
        <f>SUM(F8:L8)</f>
        <v>980</v>
      </c>
      <c r="N8" s="4">
        <v>4000</v>
      </c>
      <c r="O8" t="s">
        <v>1182</v>
      </c>
      <c r="P8" t="s">
        <v>1183</v>
      </c>
    </row>
    <row r="11" ht="22" customHeight="1" spans="1:8">
      <c r="A11" s="5" t="s">
        <v>1184</v>
      </c>
      <c r="B11" s="5"/>
      <c r="C11" s="5"/>
      <c r="D11" s="5"/>
      <c r="E11" s="5"/>
      <c r="F11" s="5"/>
      <c r="G11" s="5"/>
      <c r="H11" s="5"/>
    </row>
    <row r="12" spans="1:8">
      <c r="A12" s="6" t="s">
        <v>1185</v>
      </c>
      <c r="B12" s="6"/>
      <c r="C12" s="6"/>
      <c r="D12" s="6"/>
      <c r="E12" s="6"/>
      <c r="F12" s="6"/>
      <c r="G12" s="6"/>
      <c r="H12" s="6"/>
    </row>
    <row r="13" ht="17" spans="1:8">
      <c r="A13" s="3" t="s">
        <v>502</v>
      </c>
      <c r="B13" s="3" t="s">
        <v>1167</v>
      </c>
      <c r="C13" s="3" t="s">
        <v>391</v>
      </c>
      <c r="D13" s="3" t="s">
        <v>1186</v>
      </c>
      <c r="E13" s="3" t="s">
        <v>1187</v>
      </c>
      <c r="F13" s="3" t="s">
        <v>1188</v>
      </c>
      <c r="G13" s="3" t="s">
        <v>1189</v>
      </c>
      <c r="H13" s="3" t="s">
        <v>79</v>
      </c>
    </row>
    <row r="14" ht="17" spans="1:8">
      <c r="A14" s="19">
        <v>1</v>
      </c>
      <c r="B14" s="19" t="s">
        <v>1173</v>
      </c>
      <c r="C14" s="19" t="s">
        <v>1190</v>
      </c>
      <c r="D14" s="19" t="s">
        <v>1191</v>
      </c>
      <c r="E14" s="19" t="s">
        <v>1192</v>
      </c>
      <c r="F14" s="19" t="s">
        <v>1193</v>
      </c>
      <c r="G14" s="19" t="s">
        <v>1194</v>
      </c>
      <c r="H14" s="19" t="s">
        <v>1195</v>
      </c>
    </row>
    <row r="15" ht="17" spans="1:8">
      <c r="A15" s="19">
        <v>1</v>
      </c>
      <c r="B15" s="19" t="s">
        <v>1173</v>
      </c>
      <c r="C15" s="19" t="s">
        <v>1190</v>
      </c>
      <c r="D15" s="19" t="s">
        <v>1196</v>
      </c>
      <c r="E15" s="19" t="s">
        <v>1197</v>
      </c>
      <c r="F15" s="19" t="s">
        <v>1198</v>
      </c>
      <c r="G15" s="19" t="s">
        <v>1199</v>
      </c>
      <c r="H15" s="19" t="s">
        <v>1195</v>
      </c>
    </row>
    <row r="16" ht="17" spans="1:8">
      <c r="A16" s="19">
        <v>1</v>
      </c>
      <c r="B16" s="19" t="s">
        <v>1173</v>
      </c>
      <c r="C16" s="19" t="s">
        <v>1190</v>
      </c>
      <c r="D16" s="19" t="s">
        <v>1200</v>
      </c>
      <c r="E16" s="19" t="s">
        <v>1201</v>
      </c>
      <c r="F16" s="19" t="s">
        <v>1202</v>
      </c>
      <c r="G16" s="19" t="s">
        <v>1203</v>
      </c>
      <c r="H16" s="19" t="s">
        <v>1195</v>
      </c>
    </row>
    <row r="17" ht="17" spans="1:8">
      <c r="A17" s="19">
        <v>1</v>
      </c>
      <c r="B17" s="19" t="s">
        <v>1173</v>
      </c>
      <c r="C17" s="19" t="s">
        <v>1190</v>
      </c>
      <c r="D17" s="19" t="s">
        <v>1204</v>
      </c>
      <c r="E17" s="19" t="s">
        <v>1205</v>
      </c>
      <c r="F17" s="19" t="s">
        <v>1206</v>
      </c>
      <c r="G17" s="19" t="s">
        <v>1207</v>
      </c>
      <c r="H17" s="19" t="s">
        <v>1195</v>
      </c>
    </row>
    <row r="18" ht="17" spans="1:8">
      <c r="A18" s="19">
        <v>2</v>
      </c>
      <c r="B18" s="19" t="s">
        <v>1176</v>
      </c>
      <c r="C18" s="19" t="s">
        <v>1190</v>
      </c>
      <c r="D18" s="19" t="s">
        <v>1208</v>
      </c>
      <c r="E18" s="19" t="s">
        <v>1209</v>
      </c>
      <c r="F18" s="19" t="s">
        <v>1210</v>
      </c>
      <c r="G18" s="19" t="s">
        <v>1211</v>
      </c>
      <c r="H18" s="19" t="s">
        <v>1212</v>
      </c>
    </row>
    <row r="19" ht="17" spans="1:8">
      <c r="A19" s="19">
        <v>2</v>
      </c>
      <c r="B19" s="19" t="s">
        <v>1176</v>
      </c>
      <c r="C19" s="19" t="s">
        <v>1190</v>
      </c>
      <c r="D19" s="19" t="s">
        <v>1213</v>
      </c>
      <c r="E19" s="19" t="s">
        <v>1214</v>
      </c>
      <c r="F19" s="19" t="s">
        <v>1215</v>
      </c>
      <c r="G19" s="19" t="s">
        <v>1216</v>
      </c>
      <c r="H19" s="19" t="s">
        <v>1212</v>
      </c>
    </row>
    <row r="20" ht="17" spans="1:8">
      <c r="A20" s="19">
        <v>2</v>
      </c>
      <c r="B20" s="19" t="s">
        <v>1176</v>
      </c>
      <c r="C20" s="19" t="s">
        <v>1190</v>
      </c>
      <c r="D20" s="19" t="s">
        <v>1217</v>
      </c>
      <c r="E20" s="19" t="s">
        <v>1218</v>
      </c>
      <c r="F20" s="19" t="s">
        <v>1219</v>
      </c>
      <c r="G20" s="19" t="s">
        <v>1220</v>
      </c>
      <c r="H20" s="19" t="s">
        <v>1212</v>
      </c>
    </row>
    <row r="21" ht="34" spans="1:8">
      <c r="A21" s="19">
        <v>2</v>
      </c>
      <c r="B21" s="19" t="s">
        <v>1176</v>
      </c>
      <c r="C21" s="19" t="s">
        <v>1190</v>
      </c>
      <c r="D21" s="19" t="s">
        <v>1221</v>
      </c>
      <c r="E21" s="19" t="s">
        <v>1205</v>
      </c>
      <c r="F21" s="19" t="s">
        <v>1222</v>
      </c>
      <c r="G21" s="19" t="s">
        <v>1223</v>
      </c>
      <c r="H21" s="19" t="s">
        <v>1212</v>
      </c>
    </row>
    <row r="22" ht="17" spans="1:8">
      <c r="A22" s="19">
        <v>3</v>
      </c>
      <c r="B22" s="19" t="s">
        <v>1179</v>
      </c>
      <c r="C22" s="19" t="s">
        <v>1190</v>
      </c>
      <c r="D22" s="19" t="s">
        <v>1224</v>
      </c>
      <c r="E22" s="19" t="s">
        <v>1225</v>
      </c>
      <c r="F22" s="19" t="s">
        <v>1226</v>
      </c>
      <c r="G22" s="19" t="s">
        <v>1227</v>
      </c>
      <c r="H22" s="19" t="s">
        <v>1228</v>
      </c>
    </row>
    <row r="23" ht="17" spans="1:8">
      <c r="A23" s="19">
        <v>3</v>
      </c>
      <c r="B23" s="19" t="s">
        <v>1179</v>
      </c>
      <c r="C23" s="19" t="s">
        <v>1190</v>
      </c>
      <c r="D23" s="19" t="s">
        <v>1229</v>
      </c>
      <c r="E23" s="19" t="s">
        <v>1230</v>
      </c>
      <c r="F23" s="19" t="s">
        <v>1231</v>
      </c>
      <c r="G23" s="19" t="s">
        <v>1232</v>
      </c>
      <c r="H23" s="19" t="s">
        <v>1228</v>
      </c>
    </row>
    <row r="24" ht="17" spans="1:8">
      <c r="A24" s="19">
        <v>3</v>
      </c>
      <c r="B24" s="19" t="s">
        <v>1179</v>
      </c>
      <c r="C24" s="19" t="s">
        <v>1190</v>
      </c>
      <c r="D24" s="19" t="s">
        <v>1233</v>
      </c>
      <c r="E24" s="19" t="s">
        <v>1234</v>
      </c>
      <c r="F24" s="19" t="s">
        <v>1235</v>
      </c>
      <c r="G24" s="19" t="s">
        <v>1236</v>
      </c>
      <c r="H24" s="19" t="s">
        <v>1228</v>
      </c>
    </row>
    <row r="25" ht="34" spans="1:8">
      <c r="A25" s="19">
        <v>3</v>
      </c>
      <c r="B25" s="19" t="s">
        <v>1179</v>
      </c>
      <c r="C25" s="19" t="s">
        <v>1190</v>
      </c>
      <c r="D25" s="19" t="s">
        <v>1237</v>
      </c>
      <c r="E25" s="19" t="s">
        <v>1238</v>
      </c>
      <c r="F25" s="19" t="s">
        <v>1239</v>
      </c>
      <c r="G25" s="19" t="s">
        <v>1240</v>
      </c>
      <c r="H25" s="19" t="s">
        <v>1228</v>
      </c>
    </row>
    <row r="26" ht="17" spans="1:8">
      <c r="A26" s="19">
        <v>3</v>
      </c>
      <c r="B26" s="19" t="s">
        <v>1179</v>
      </c>
      <c r="C26" s="19" t="s">
        <v>1190</v>
      </c>
      <c r="D26" s="19" t="s">
        <v>1241</v>
      </c>
      <c r="E26" s="19" t="s">
        <v>391</v>
      </c>
      <c r="F26" s="19" t="s">
        <v>1242</v>
      </c>
      <c r="G26" s="19" t="s">
        <v>1243</v>
      </c>
      <c r="H26" s="19" t="s">
        <v>1228</v>
      </c>
    </row>
    <row r="27" ht="17" spans="1:8">
      <c r="A27" s="19">
        <v>4</v>
      </c>
      <c r="B27" s="19" t="s">
        <v>1181</v>
      </c>
      <c r="C27" s="19" t="s">
        <v>1244</v>
      </c>
      <c r="D27" s="19" t="s">
        <v>1245</v>
      </c>
      <c r="E27" s="19" t="s">
        <v>1246</v>
      </c>
      <c r="F27" s="19" t="s">
        <v>1247</v>
      </c>
      <c r="G27" s="19" t="s">
        <v>1248</v>
      </c>
      <c r="H27" s="19" t="s">
        <v>1249</v>
      </c>
    </row>
    <row r="28" ht="17" spans="1:8">
      <c r="A28" s="19">
        <v>4</v>
      </c>
      <c r="B28" s="19" t="s">
        <v>1181</v>
      </c>
      <c r="C28" s="19" t="s">
        <v>1244</v>
      </c>
      <c r="D28" s="19" t="s">
        <v>1250</v>
      </c>
      <c r="E28" s="19" t="s">
        <v>1251</v>
      </c>
      <c r="F28" s="19" t="s">
        <v>1252</v>
      </c>
      <c r="G28" s="19" t="s">
        <v>1253</v>
      </c>
      <c r="H28" s="19" t="s">
        <v>1249</v>
      </c>
    </row>
    <row r="29" ht="17" spans="1:8">
      <c r="A29" s="19">
        <v>4</v>
      </c>
      <c r="B29" s="19" t="s">
        <v>1181</v>
      </c>
      <c r="C29" s="19" t="s">
        <v>1244</v>
      </c>
      <c r="D29" s="19" t="s">
        <v>1254</v>
      </c>
      <c r="E29" s="19" t="s">
        <v>1255</v>
      </c>
      <c r="F29" s="19" t="s">
        <v>1256</v>
      </c>
      <c r="G29" s="19" t="s">
        <v>1257</v>
      </c>
      <c r="H29" s="19" t="s">
        <v>1249</v>
      </c>
    </row>
    <row r="30" ht="17" spans="1:8">
      <c r="A30" s="19">
        <v>4</v>
      </c>
      <c r="B30" s="19" t="s">
        <v>1181</v>
      </c>
      <c r="C30" s="19" t="s">
        <v>1258</v>
      </c>
      <c r="D30" s="19" t="s">
        <v>1259</v>
      </c>
      <c r="E30" s="19" t="s">
        <v>1260</v>
      </c>
      <c r="F30" s="19" t="s">
        <v>1261</v>
      </c>
      <c r="G30" s="19" t="s">
        <v>1262</v>
      </c>
      <c r="H30" s="19" t="s">
        <v>1263</v>
      </c>
    </row>
    <row r="31" ht="17" spans="1:8">
      <c r="A31" s="19">
        <v>4</v>
      </c>
      <c r="B31" s="19" t="s">
        <v>1181</v>
      </c>
      <c r="C31" s="19" t="s">
        <v>1258</v>
      </c>
      <c r="D31" s="19" t="s">
        <v>1264</v>
      </c>
      <c r="E31" s="19" t="s">
        <v>1214</v>
      </c>
      <c r="F31" s="19" t="s">
        <v>1265</v>
      </c>
      <c r="G31" s="19" t="s">
        <v>1266</v>
      </c>
      <c r="H31" s="19" t="s">
        <v>1263</v>
      </c>
    </row>
    <row r="32" ht="34" spans="1:8">
      <c r="A32" s="19">
        <v>4</v>
      </c>
      <c r="B32" s="19" t="s">
        <v>1181</v>
      </c>
      <c r="C32" s="19" t="s">
        <v>1258</v>
      </c>
      <c r="D32" s="19" t="s">
        <v>1267</v>
      </c>
      <c r="E32" s="19" t="s">
        <v>1255</v>
      </c>
      <c r="F32" s="19" t="s">
        <v>1268</v>
      </c>
      <c r="G32" s="19" t="s">
        <v>1269</v>
      </c>
      <c r="H32" s="19" t="s">
        <v>1263</v>
      </c>
    </row>
    <row r="33" ht="17" spans="1:8">
      <c r="A33" s="19">
        <v>4</v>
      </c>
      <c r="B33" s="19" t="s">
        <v>1181</v>
      </c>
      <c r="C33" s="19" t="s">
        <v>1270</v>
      </c>
      <c r="D33" s="19" t="s">
        <v>1271</v>
      </c>
      <c r="E33" s="19" t="s">
        <v>1238</v>
      </c>
      <c r="F33" s="19" t="s">
        <v>1219</v>
      </c>
      <c r="G33" s="19" t="s">
        <v>1272</v>
      </c>
      <c r="H33" s="19" t="s">
        <v>1273</v>
      </c>
    </row>
    <row r="34" ht="17" spans="1:8">
      <c r="A34" s="19">
        <v>4</v>
      </c>
      <c r="B34" s="19" t="s">
        <v>1181</v>
      </c>
      <c r="C34" s="19" t="s">
        <v>1270</v>
      </c>
      <c r="D34" s="19" t="s">
        <v>1274</v>
      </c>
      <c r="E34" s="19" t="s">
        <v>1275</v>
      </c>
      <c r="F34" s="19" t="s">
        <v>1276</v>
      </c>
      <c r="G34" s="19" t="s">
        <v>1277</v>
      </c>
      <c r="H34" s="19" t="s">
        <v>1273</v>
      </c>
    </row>
    <row r="35" ht="17" spans="1:8">
      <c r="A35" s="19">
        <v>4</v>
      </c>
      <c r="B35" s="19" t="s">
        <v>1181</v>
      </c>
      <c r="C35" s="19" t="s">
        <v>1270</v>
      </c>
      <c r="D35" s="19" t="s">
        <v>1278</v>
      </c>
      <c r="E35" s="19" t="s">
        <v>1279</v>
      </c>
      <c r="F35" s="19" t="s">
        <v>1280</v>
      </c>
      <c r="G35" s="19" t="s">
        <v>1281</v>
      </c>
      <c r="H35" s="19" t="s">
        <v>1273</v>
      </c>
    </row>
    <row r="36" ht="17" spans="1:8">
      <c r="A36" s="19">
        <v>4</v>
      </c>
      <c r="B36" s="19" t="s">
        <v>1181</v>
      </c>
      <c r="C36" s="19" t="s">
        <v>1270</v>
      </c>
      <c r="D36" s="19" t="s">
        <v>1282</v>
      </c>
      <c r="E36" s="19" t="s">
        <v>1283</v>
      </c>
      <c r="F36" s="19" t="s">
        <v>1284</v>
      </c>
      <c r="G36" s="19" t="s">
        <v>1285</v>
      </c>
      <c r="H36" s="19" t="s">
        <v>1273</v>
      </c>
    </row>
  </sheetData>
  <mergeCells count="4">
    <mergeCell ref="A1:R1"/>
    <mergeCell ref="A2:R2"/>
    <mergeCell ref="A11:H11"/>
    <mergeCell ref="A12:H12"/>
  </mergeCells>
  <pageMargins left="0.7" right="0.7" top="0.75" bottom="0.75" header="0.3" footer="0.3"/>
  <headerFooter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5"/>
  <sheetViews>
    <sheetView showGridLines="0" workbookViewId="0">
      <selection activeCell="A1" sqref="A1:H1"/>
    </sheetView>
  </sheetViews>
  <sheetFormatPr defaultColWidth="9" defaultRowHeight="16.8" outlineLevelCol="7"/>
  <cols>
    <col min="1" max="1" width="14" customWidth="1"/>
    <col min="2" max="3" width="18" customWidth="1"/>
    <col min="4" max="4" width="64" customWidth="1"/>
    <col min="5" max="5" width="20" customWidth="1"/>
    <col min="6" max="6" width="14" customWidth="1"/>
    <col min="7" max="7" width="16" customWidth="1"/>
    <col min="8" max="8" width="24" customWidth="1"/>
  </cols>
  <sheetData>
    <row r="1" ht="30" customHeight="1" spans="1:8">
      <c r="A1" s="1" t="s">
        <v>1286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1287</v>
      </c>
      <c r="B2" s="2"/>
      <c r="C2" s="2"/>
      <c r="D2" s="2"/>
      <c r="E2" s="2"/>
      <c r="F2" s="2"/>
      <c r="G2" s="2"/>
      <c r="H2" s="2"/>
    </row>
    <row r="4" ht="17" spans="1:4">
      <c r="A4" s="3" t="s">
        <v>1288</v>
      </c>
      <c r="B4" s="3" t="s">
        <v>1289</v>
      </c>
      <c r="C4" s="3" t="s">
        <v>1290</v>
      </c>
      <c r="D4" s="3" t="s">
        <v>1291</v>
      </c>
    </row>
    <row r="5" ht="34" spans="1:4">
      <c r="A5" s="4">
        <v>1</v>
      </c>
      <c r="B5" s="4">
        <v>0</v>
      </c>
      <c r="C5" s="16">
        <f>SUM($B$5:B5)</f>
        <v>0</v>
      </c>
      <c r="D5" s="18" t="s">
        <v>1292</v>
      </c>
    </row>
    <row r="6" ht="17" spans="1:4">
      <c r="A6" s="4">
        <v>2</v>
      </c>
      <c r="B6" s="4">
        <v>40</v>
      </c>
      <c r="C6" s="16">
        <f>SUM($B$5:B6)</f>
        <v>40</v>
      </c>
      <c r="D6" s="18" t="s">
        <v>1293</v>
      </c>
    </row>
    <row r="7" ht="17" spans="1:4">
      <c r="A7" s="4">
        <v>3</v>
      </c>
      <c r="B7" s="4">
        <v>60</v>
      </c>
      <c r="C7" s="16">
        <f>SUM($B$5:B7)</f>
        <v>100</v>
      </c>
      <c r="D7" s="18" t="s">
        <v>1294</v>
      </c>
    </row>
    <row r="8" ht="17" spans="1:4">
      <c r="A8" s="4">
        <v>4</v>
      </c>
      <c r="B8" s="4">
        <v>90</v>
      </c>
      <c r="C8" s="16">
        <f>SUM($B$5:B8)</f>
        <v>190</v>
      </c>
      <c r="D8" s="18" t="s">
        <v>1295</v>
      </c>
    </row>
    <row r="9" ht="17" spans="1:4">
      <c r="A9" s="4">
        <v>5</v>
      </c>
      <c r="B9" s="4">
        <v>130</v>
      </c>
      <c r="C9" s="16">
        <f>SUM($B$5:B9)</f>
        <v>320</v>
      </c>
      <c r="D9" s="18" t="s">
        <v>1296</v>
      </c>
    </row>
    <row r="10" ht="17" spans="1:4">
      <c r="A10" s="4">
        <v>6</v>
      </c>
      <c r="B10" s="4">
        <v>180</v>
      </c>
      <c r="C10" s="16">
        <f>SUM($B$5:B10)</f>
        <v>500</v>
      </c>
      <c r="D10" s="18" t="s">
        <v>1297</v>
      </c>
    </row>
    <row r="11" ht="17" spans="1:4">
      <c r="A11" s="4">
        <v>7</v>
      </c>
      <c r="B11" s="4">
        <v>240</v>
      </c>
      <c r="C11" s="16">
        <f>SUM($B$5:B11)</f>
        <v>740</v>
      </c>
      <c r="D11" s="18" t="s">
        <v>1298</v>
      </c>
    </row>
    <row r="12" ht="17" spans="1:4">
      <c r="A12" s="4">
        <v>8</v>
      </c>
      <c r="B12" s="4">
        <v>320</v>
      </c>
      <c r="C12" s="16">
        <f>SUM($B$5:B12)</f>
        <v>1060</v>
      </c>
      <c r="D12" s="18" t="s">
        <v>1299</v>
      </c>
    </row>
    <row r="13" ht="17" spans="1:4">
      <c r="A13" s="4">
        <v>9</v>
      </c>
      <c r="B13" s="4">
        <v>420</v>
      </c>
      <c r="C13" s="16">
        <f>SUM($B$5:B13)</f>
        <v>1480</v>
      </c>
      <c r="D13" s="18" t="s">
        <v>1300</v>
      </c>
    </row>
    <row r="14" ht="17" spans="1:4">
      <c r="A14" s="4">
        <v>10</v>
      </c>
      <c r="B14" s="4">
        <v>540</v>
      </c>
      <c r="C14" s="16">
        <f>SUM($B$5:B14)</f>
        <v>2020</v>
      </c>
      <c r="D14" s="18" t="s">
        <v>1301</v>
      </c>
    </row>
    <row r="15" ht="17" spans="1:4">
      <c r="A15" s="4">
        <v>11</v>
      </c>
      <c r="B15" s="4">
        <v>680</v>
      </c>
      <c r="C15" s="16">
        <f>SUM($B$5:B15)</f>
        <v>2700</v>
      </c>
      <c r="D15" s="18" t="s">
        <v>1302</v>
      </c>
    </row>
    <row r="16" ht="17" spans="1:4">
      <c r="A16" s="4">
        <v>12</v>
      </c>
      <c r="B16" s="4">
        <v>850</v>
      </c>
      <c r="C16" s="16">
        <f>SUM($B$5:B16)</f>
        <v>3550</v>
      </c>
      <c r="D16" s="18" t="s">
        <v>1303</v>
      </c>
    </row>
    <row r="17" ht="17" spans="1:4">
      <c r="A17" s="4">
        <v>13</v>
      </c>
      <c r="B17" s="4">
        <v>1050</v>
      </c>
      <c r="C17" s="16">
        <f>SUM($B$5:B17)</f>
        <v>4600</v>
      </c>
      <c r="D17" s="18" t="s">
        <v>1304</v>
      </c>
    </row>
    <row r="18" ht="17" spans="1:4">
      <c r="A18" s="4">
        <v>14</v>
      </c>
      <c r="B18" s="4">
        <v>1280</v>
      </c>
      <c r="C18" s="16">
        <f>SUM($B$5:B18)</f>
        <v>5880</v>
      </c>
      <c r="D18" s="18" t="s">
        <v>1305</v>
      </c>
    </row>
    <row r="19" ht="17" spans="1:4">
      <c r="A19" s="4">
        <v>15</v>
      </c>
      <c r="B19" s="4">
        <v>1540</v>
      </c>
      <c r="C19" s="16">
        <f>SUM($B$5:B19)</f>
        <v>7420</v>
      </c>
      <c r="D19" s="18" t="s">
        <v>1306</v>
      </c>
    </row>
    <row r="20" ht="17" spans="1:4">
      <c r="A20" s="4">
        <v>16</v>
      </c>
      <c r="B20" s="4">
        <v>1840</v>
      </c>
      <c r="C20" s="16">
        <f>SUM($B$5:B20)</f>
        <v>9260</v>
      </c>
      <c r="D20" s="18" t="s">
        <v>1307</v>
      </c>
    </row>
    <row r="21" ht="17" spans="1:4">
      <c r="A21" s="4">
        <v>17</v>
      </c>
      <c r="B21" s="4">
        <v>2180</v>
      </c>
      <c r="C21" s="16">
        <f>SUM($B$5:B21)</f>
        <v>11440</v>
      </c>
      <c r="D21" s="18" t="s">
        <v>1308</v>
      </c>
    </row>
    <row r="22" ht="17" spans="1:4">
      <c r="A22" s="4">
        <v>18</v>
      </c>
      <c r="B22" s="4">
        <v>2560</v>
      </c>
      <c r="C22" s="16">
        <f>SUM($B$5:B22)</f>
        <v>14000</v>
      </c>
      <c r="D22" s="18" t="s">
        <v>1309</v>
      </c>
    </row>
    <row r="23" ht="17" spans="1:4">
      <c r="A23" s="4">
        <v>19</v>
      </c>
      <c r="B23" s="4">
        <v>2980</v>
      </c>
      <c r="C23" s="16">
        <f>SUM($B$5:B23)</f>
        <v>16980</v>
      </c>
      <c r="D23" s="18" t="s">
        <v>1310</v>
      </c>
    </row>
    <row r="24" ht="17" spans="1:4">
      <c r="A24" s="4">
        <v>20</v>
      </c>
      <c r="B24" s="4">
        <v>3440</v>
      </c>
      <c r="C24" s="16">
        <f>SUM($B$5:B24)</f>
        <v>20420</v>
      </c>
      <c r="D24" s="18" t="s">
        <v>1311</v>
      </c>
    </row>
    <row r="25" ht="17" spans="1:4">
      <c r="A25" s="4">
        <v>21</v>
      </c>
      <c r="B25" s="4">
        <v>3940</v>
      </c>
      <c r="C25" s="16">
        <f>SUM($B$5:B25)</f>
        <v>24360</v>
      </c>
      <c r="D25" s="18" t="s">
        <v>1312</v>
      </c>
    </row>
    <row r="26" ht="17" spans="1:4">
      <c r="A26" s="4">
        <v>22</v>
      </c>
      <c r="B26" s="4">
        <v>4500</v>
      </c>
      <c r="C26" s="16">
        <f>SUM($B$5:B26)</f>
        <v>28860</v>
      </c>
      <c r="D26" s="18" t="s">
        <v>1313</v>
      </c>
    </row>
    <row r="27" ht="17" spans="1:4">
      <c r="A27" s="4">
        <v>23</v>
      </c>
      <c r="B27" s="4">
        <v>5120</v>
      </c>
      <c r="C27" s="16">
        <f>SUM($B$5:B27)</f>
        <v>33980</v>
      </c>
      <c r="D27" s="18" t="s">
        <v>1314</v>
      </c>
    </row>
    <row r="28" ht="17" spans="1:4">
      <c r="A28" s="4">
        <v>24</v>
      </c>
      <c r="B28" s="4">
        <v>5800</v>
      </c>
      <c r="C28" s="16">
        <f>SUM($B$5:B28)</f>
        <v>39780</v>
      </c>
      <c r="D28" s="18" t="s">
        <v>1315</v>
      </c>
    </row>
    <row r="31" ht="22" customHeight="1" spans="1:8">
      <c r="A31" s="5" t="s">
        <v>1316</v>
      </c>
      <c r="B31" s="5"/>
      <c r="C31" s="5"/>
      <c r="D31" s="5"/>
      <c r="E31" s="5"/>
      <c r="F31" s="5"/>
      <c r="G31" s="5"/>
      <c r="H31" s="5"/>
    </row>
    <row r="32" spans="1:8">
      <c r="A32" s="6" t="s">
        <v>1317</v>
      </c>
      <c r="B32" s="6"/>
      <c r="C32" s="6"/>
      <c r="D32" s="6"/>
      <c r="E32" s="6"/>
      <c r="F32" s="6"/>
      <c r="G32" s="6"/>
      <c r="H32" s="6"/>
    </row>
    <row r="33" ht="17" spans="1:8">
      <c r="A33" s="3" t="s">
        <v>1318</v>
      </c>
      <c r="B33" s="3" t="s">
        <v>1319</v>
      </c>
      <c r="C33" s="3" t="s">
        <v>1320</v>
      </c>
      <c r="D33" s="3" t="s">
        <v>1321</v>
      </c>
      <c r="E33" s="3" t="s">
        <v>1322</v>
      </c>
      <c r="F33" s="3" t="s">
        <v>1323</v>
      </c>
      <c r="G33" s="3" t="s">
        <v>1324</v>
      </c>
      <c r="H33" s="3" t="s">
        <v>905</v>
      </c>
    </row>
    <row r="34" ht="17" spans="1:8">
      <c r="A34" s="7" t="s">
        <v>1325</v>
      </c>
      <c r="B34" s="9">
        <v>1</v>
      </c>
      <c r="C34" s="7" t="s">
        <v>908</v>
      </c>
      <c r="D34" s="9">
        <v>2</v>
      </c>
      <c r="E34" s="7" t="s">
        <v>1326</v>
      </c>
      <c r="F34" s="9">
        <v>6</v>
      </c>
      <c r="G34" s="9">
        <v>120</v>
      </c>
      <c r="H34" s="7" t="s">
        <v>1327</v>
      </c>
    </row>
    <row r="35" ht="17" spans="1:8">
      <c r="A35" s="10" t="s">
        <v>1328</v>
      </c>
      <c r="B35" s="11">
        <v>2</v>
      </c>
      <c r="C35" s="10" t="s">
        <v>1326</v>
      </c>
      <c r="D35" s="11">
        <v>3</v>
      </c>
      <c r="E35" s="10" t="s">
        <v>1329</v>
      </c>
      <c r="F35" s="11">
        <v>2</v>
      </c>
      <c r="G35" s="11">
        <v>0</v>
      </c>
      <c r="H35" s="10" t="s">
        <v>1330</v>
      </c>
    </row>
    <row r="36" ht="17" spans="1:8">
      <c r="A36" s="10" t="s">
        <v>190</v>
      </c>
      <c r="B36" s="11">
        <v>3</v>
      </c>
      <c r="C36" s="10" t="s">
        <v>1331</v>
      </c>
      <c r="D36" s="11">
        <v>1</v>
      </c>
      <c r="E36" s="10" t="s">
        <v>1326</v>
      </c>
      <c r="F36" s="11">
        <v>15</v>
      </c>
      <c r="G36" s="11">
        <v>0</v>
      </c>
      <c r="H36" s="10" t="s">
        <v>1332</v>
      </c>
    </row>
    <row r="37" ht="17" spans="1:8">
      <c r="A37" s="10" t="s">
        <v>1333</v>
      </c>
      <c r="B37" s="11">
        <v>1</v>
      </c>
      <c r="C37" s="10" t="s">
        <v>903</v>
      </c>
      <c r="D37" s="11">
        <v>10</v>
      </c>
      <c r="E37" s="10" t="s">
        <v>538</v>
      </c>
      <c r="F37" s="11">
        <v>0</v>
      </c>
      <c r="G37" s="11">
        <v>0</v>
      </c>
      <c r="H37" s="10" t="s">
        <v>1334</v>
      </c>
    </row>
    <row r="40" ht="22" customHeight="1" spans="1:3">
      <c r="A40" s="5" t="s">
        <v>1335</v>
      </c>
      <c r="B40" s="5"/>
      <c r="C40" s="5"/>
    </row>
    <row r="41" spans="1:3">
      <c r="A41" s="6" t="s">
        <v>1336</v>
      </c>
      <c r="B41" s="6"/>
      <c r="C41" s="6"/>
    </row>
    <row r="42" ht="34" spans="1:3">
      <c r="A42" s="3" t="s">
        <v>391</v>
      </c>
      <c r="B42" s="3" t="s">
        <v>128</v>
      </c>
      <c r="C42" s="3" t="s">
        <v>1337</v>
      </c>
    </row>
    <row r="43" ht="17" spans="1:3">
      <c r="A43" s="7" t="s">
        <v>1338</v>
      </c>
      <c r="B43" s="9">
        <v>0</v>
      </c>
      <c r="C43" s="9">
        <v>1</v>
      </c>
    </row>
    <row r="44" ht="17" spans="1:3">
      <c r="A44" s="10" t="s">
        <v>1339</v>
      </c>
      <c r="B44" s="11">
        <v>120</v>
      </c>
      <c r="C44" s="11">
        <v>2</v>
      </c>
    </row>
    <row r="45" ht="17" spans="1:3">
      <c r="A45" s="10" t="s">
        <v>1340</v>
      </c>
      <c r="B45" s="11">
        <v>450</v>
      </c>
      <c r="C45" s="11">
        <v>3</v>
      </c>
    </row>
    <row r="46" ht="17" spans="1:3">
      <c r="A46" s="10" t="s">
        <v>1341</v>
      </c>
      <c r="B46" s="11">
        <v>1500</v>
      </c>
      <c r="C46" s="11">
        <v>4</v>
      </c>
    </row>
    <row r="49" ht="22" customHeight="1" spans="1:4">
      <c r="A49" s="5" t="s">
        <v>1342</v>
      </c>
      <c r="B49" s="5"/>
      <c r="C49" s="5"/>
      <c r="D49" s="5"/>
    </row>
    <row r="50" spans="1:4">
      <c r="A50" s="6" t="s">
        <v>1343</v>
      </c>
      <c r="B50" s="6"/>
      <c r="C50" s="6"/>
      <c r="D50" s="6"/>
    </row>
    <row r="51" ht="17" spans="1:4">
      <c r="A51" s="3" t="s">
        <v>391</v>
      </c>
      <c r="B51" s="3" t="s">
        <v>1344</v>
      </c>
      <c r="C51" s="3" t="s">
        <v>904</v>
      </c>
      <c r="D51" s="3" t="s">
        <v>1345</v>
      </c>
    </row>
    <row r="52" ht="17" spans="1:4">
      <c r="A52" s="7" t="s">
        <v>1338</v>
      </c>
      <c r="B52" s="9">
        <v>0</v>
      </c>
      <c r="C52" s="9">
        <v>0</v>
      </c>
      <c r="D52" s="7" t="s">
        <v>1346</v>
      </c>
    </row>
    <row r="53" ht="17" spans="1:4">
      <c r="A53" s="10" t="s">
        <v>1347</v>
      </c>
      <c r="B53" s="11">
        <v>2</v>
      </c>
      <c r="C53" s="11">
        <v>1</v>
      </c>
      <c r="D53" s="10" t="s">
        <v>1348</v>
      </c>
    </row>
    <row r="54" ht="17" spans="1:4">
      <c r="A54" s="10" t="s">
        <v>1349</v>
      </c>
      <c r="B54" s="11">
        <v>5</v>
      </c>
      <c r="C54" s="11">
        <v>3</v>
      </c>
      <c r="D54" s="10" t="s">
        <v>1350</v>
      </c>
    </row>
    <row r="55" ht="17" spans="1:4">
      <c r="A55" s="10" t="s">
        <v>1351</v>
      </c>
      <c r="B55" s="11">
        <v>10</v>
      </c>
      <c r="C55" s="11">
        <v>8</v>
      </c>
      <c r="D55" s="10" t="s">
        <v>1352</v>
      </c>
    </row>
  </sheetData>
  <mergeCells count="8">
    <mergeCell ref="A1:H1"/>
    <mergeCell ref="A2:H2"/>
    <mergeCell ref="A31:H31"/>
    <mergeCell ref="A32:H32"/>
    <mergeCell ref="A40:C40"/>
    <mergeCell ref="A41:C41"/>
    <mergeCell ref="A49:D49"/>
    <mergeCell ref="A50:D50"/>
  </mergeCells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5"/>
  <sheetViews>
    <sheetView showGridLines="0" workbookViewId="0">
      <selection activeCell="A1" sqref="A1:H1"/>
    </sheetView>
  </sheetViews>
  <sheetFormatPr defaultColWidth="9" defaultRowHeight="16.8" outlineLevelCol="7"/>
  <cols>
    <col min="1" max="1" width="28" customWidth="1"/>
    <col min="2" max="2" width="18" customWidth="1"/>
    <col min="3" max="3" width="43" customWidth="1"/>
    <col min="4" max="5" width="18" customWidth="1"/>
    <col min="6" max="6" width="24" customWidth="1"/>
    <col min="7" max="7" width="46" customWidth="1"/>
    <col min="8" max="8" width="54" customWidth="1"/>
  </cols>
  <sheetData>
    <row r="1" ht="30" customHeight="1" spans="1:8">
      <c r="A1" s="1" t="s">
        <v>1353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1354</v>
      </c>
      <c r="B2" s="2"/>
      <c r="C2" s="2"/>
      <c r="D2" s="2"/>
      <c r="E2" s="2"/>
      <c r="F2" s="2"/>
      <c r="G2" s="2"/>
      <c r="H2" s="2"/>
    </row>
    <row r="4" ht="22" customHeight="1" spans="1:7">
      <c r="A4" s="5" t="s">
        <v>1355</v>
      </c>
      <c r="B4" s="5"/>
      <c r="C4" s="5"/>
      <c r="D4" s="5"/>
      <c r="E4" s="5"/>
      <c r="F4" s="5"/>
      <c r="G4" s="5"/>
    </row>
    <row r="5" spans="1:7">
      <c r="A5" s="6" t="s">
        <v>1356</v>
      </c>
      <c r="B5" s="6"/>
      <c r="C5" s="6"/>
      <c r="D5" s="6"/>
      <c r="E5" s="6"/>
      <c r="F5" s="6"/>
      <c r="G5" s="6"/>
    </row>
    <row r="6" ht="17" spans="1:7">
      <c r="A6" s="3" t="s">
        <v>1357</v>
      </c>
      <c r="B6" s="3" t="s">
        <v>1358</v>
      </c>
      <c r="C6" s="3" t="s">
        <v>207</v>
      </c>
      <c r="D6" s="3" t="s">
        <v>1359</v>
      </c>
      <c r="E6" s="3" t="s">
        <v>1360</v>
      </c>
      <c r="F6" s="3" t="s">
        <v>1361</v>
      </c>
      <c r="G6" s="3" t="s">
        <v>79</v>
      </c>
    </row>
    <row r="7" spans="1:7">
      <c r="A7" t="s">
        <v>128</v>
      </c>
      <c r="B7" t="s">
        <v>1362</v>
      </c>
      <c r="C7" t="s">
        <v>1363</v>
      </c>
      <c r="D7" s="4">
        <v>20</v>
      </c>
      <c r="E7" s="4">
        <v>30</v>
      </c>
      <c r="F7" t="s">
        <v>1364</v>
      </c>
      <c r="G7" t="s">
        <v>1365</v>
      </c>
    </row>
    <row r="8" spans="1:7">
      <c r="A8" t="s">
        <v>128</v>
      </c>
      <c r="B8" t="s">
        <v>739</v>
      </c>
      <c r="C8" t="s">
        <v>1366</v>
      </c>
      <c r="D8" s="4">
        <v>60</v>
      </c>
      <c r="E8" s="4">
        <v>15</v>
      </c>
      <c r="F8" t="s">
        <v>1364</v>
      </c>
      <c r="G8" t="s">
        <v>1365</v>
      </c>
    </row>
    <row r="9" spans="1:7">
      <c r="A9" t="s">
        <v>128</v>
      </c>
      <c r="B9" t="s">
        <v>1367</v>
      </c>
      <c r="C9" t="s">
        <v>1368</v>
      </c>
      <c r="D9" s="4">
        <v>160</v>
      </c>
      <c r="E9" s="4">
        <v>5</v>
      </c>
      <c r="F9" t="s">
        <v>1364</v>
      </c>
      <c r="G9" t="s">
        <v>1365</v>
      </c>
    </row>
    <row r="10" spans="1:7">
      <c r="A10" t="s">
        <v>128</v>
      </c>
      <c r="B10" t="s">
        <v>1369</v>
      </c>
      <c r="C10" t="s">
        <v>1370</v>
      </c>
      <c r="D10" s="4">
        <v>400</v>
      </c>
      <c r="E10" s="4">
        <v>2</v>
      </c>
      <c r="F10" t="s">
        <v>1364</v>
      </c>
      <c r="G10" t="s">
        <v>1365</v>
      </c>
    </row>
    <row r="11" spans="1:7">
      <c r="A11" t="s">
        <v>903</v>
      </c>
      <c r="B11" t="s">
        <v>1362</v>
      </c>
      <c r="C11" t="s">
        <v>1371</v>
      </c>
      <c r="D11" s="4">
        <v>12</v>
      </c>
      <c r="E11" s="4">
        <v>30</v>
      </c>
      <c r="F11" t="s">
        <v>1364</v>
      </c>
      <c r="G11" t="s">
        <v>1365</v>
      </c>
    </row>
    <row r="12" spans="1:7">
      <c r="A12" t="s">
        <v>903</v>
      </c>
      <c r="B12" t="s">
        <v>739</v>
      </c>
      <c r="C12" t="s">
        <v>1372</v>
      </c>
      <c r="D12" s="4">
        <v>36</v>
      </c>
      <c r="E12" s="4">
        <v>15</v>
      </c>
      <c r="F12" t="s">
        <v>1364</v>
      </c>
      <c r="G12" t="s">
        <v>1365</v>
      </c>
    </row>
    <row r="13" spans="1:7">
      <c r="A13" t="s">
        <v>903</v>
      </c>
      <c r="B13" t="s">
        <v>1367</v>
      </c>
      <c r="C13" t="s">
        <v>1373</v>
      </c>
      <c r="D13" s="4">
        <v>100</v>
      </c>
      <c r="E13" s="4">
        <v>5</v>
      </c>
      <c r="F13" t="s">
        <v>1364</v>
      </c>
      <c r="G13" t="s">
        <v>1365</v>
      </c>
    </row>
    <row r="14" spans="1:7">
      <c r="A14" t="s">
        <v>903</v>
      </c>
      <c r="B14" t="s">
        <v>1369</v>
      </c>
      <c r="C14" t="s">
        <v>1374</v>
      </c>
      <c r="D14" s="4">
        <v>250</v>
      </c>
      <c r="E14" s="4">
        <v>2</v>
      </c>
      <c r="F14" t="s">
        <v>1364</v>
      </c>
      <c r="G14" t="s">
        <v>1365</v>
      </c>
    </row>
    <row r="15" spans="1:7">
      <c r="A15" t="s">
        <v>121</v>
      </c>
      <c r="B15" t="s">
        <v>1362</v>
      </c>
      <c r="C15" t="s">
        <v>1375</v>
      </c>
      <c r="D15" s="4">
        <v>80</v>
      </c>
      <c r="E15" s="4">
        <v>30</v>
      </c>
      <c r="F15" t="s">
        <v>1376</v>
      </c>
      <c r="G15" t="s">
        <v>1365</v>
      </c>
    </row>
    <row r="16" spans="1:7">
      <c r="A16" t="s">
        <v>121</v>
      </c>
      <c r="B16" t="s">
        <v>739</v>
      </c>
      <c r="C16" t="s">
        <v>1377</v>
      </c>
      <c r="D16" s="4">
        <v>240</v>
      </c>
      <c r="E16" s="4">
        <v>15</v>
      </c>
      <c r="F16" t="s">
        <v>1376</v>
      </c>
      <c r="G16" t="s">
        <v>1365</v>
      </c>
    </row>
    <row r="17" spans="1:7">
      <c r="A17" t="s">
        <v>121</v>
      </c>
      <c r="B17" t="s">
        <v>1367</v>
      </c>
      <c r="C17" t="s">
        <v>1378</v>
      </c>
      <c r="D17" s="4">
        <v>650</v>
      </c>
      <c r="E17" s="4">
        <v>5</v>
      </c>
      <c r="F17" t="s">
        <v>1376</v>
      </c>
      <c r="G17" t="s">
        <v>1365</v>
      </c>
    </row>
    <row r="18" spans="1:7">
      <c r="A18" t="s">
        <v>121</v>
      </c>
      <c r="B18" t="s">
        <v>1369</v>
      </c>
      <c r="C18" t="s">
        <v>1379</v>
      </c>
      <c r="D18" s="4">
        <v>1600</v>
      </c>
      <c r="E18" s="4">
        <v>2</v>
      </c>
      <c r="F18" t="s">
        <v>1376</v>
      </c>
      <c r="G18" t="s">
        <v>1365</v>
      </c>
    </row>
    <row r="19" spans="1:7">
      <c r="A19" t="s">
        <v>1326</v>
      </c>
      <c r="B19" t="s">
        <v>1362</v>
      </c>
      <c r="C19" t="s">
        <v>1380</v>
      </c>
      <c r="D19" s="4">
        <v>8</v>
      </c>
      <c r="E19" s="4">
        <v>30</v>
      </c>
      <c r="F19" t="s">
        <v>1364</v>
      </c>
      <c r="G19" t="s">
        <v>1365</v>
      </c>
    </row>
    <row r="20" spans="1:7">
      <c r="A20" t="s">
        <v>1326</v>
      </c>
      <c r="B20" t="s">
        <v>739</v>
      </c>
      <c r="C20" t="s">
        <v>1381</v>
      </c>
      <c r="D20" s="4">
        <v>24</v>
      </c>
      <c r="E20" s="4">
        <v>15</v>
      </c>
      <c r="F20" t="s">
        <v>1364</v>
      </c>
      <c r="G20" t="s">
        <v>1365</v>
      </c>
    </row>
    <row r="21" spans="1:7">
      <c r="A21" t="s">
        <v>1326</v>
      </c>
      <c r="B21" t="s">
        <v>1367</v>
      </c>
      <c r="C21" t="s">
        <v>1382</v>
      </c>
      <c r="D21" s="4">
        <v>64</v>
      </c>
      <c r="E21" s="4">
        <v>5</v>
      </c>
      <c r="F21" t="s">
        <v>1364</v>
      </c>
      <c r="G21" t="s">
        <v>1365</v>
      </c>
    </row>
    <row r="22" spans="1:7">
      <c r="A22" t="s">
        <v>1326</v>
      </c>
      <c r="B22" t="s">
        <v>1369</v>
      </c>
      <c r="C22" t="s">
        <v>1383</v>
      </c>
      <c r="D22" s="4">
        <v>160</v>
      </c>
      <c r="E22" s="4">
        <v>2</v>
      </c>
      <c r="F22" t="s">
        <v>1364</v>
      </c>
      <c r="G22" t="s">
        <v>1365</v>
      </c>
    </row>
    <row r="23" spans="1:7">
      <c r="A23" t="s">
        <v>904</v>
      </c>
      <c r="B23" t="s">
        <v>1362</v>
      </c>
      <c r="C23" t="s">
        <v>1384</v>
      </c>
      <c r="D23" s="4">
        <v>1</v>
      </c>
      <c r="E23" s="4">
        <v>30</v>
      </c>
      <c r="F23" t="s">
        <v>1364</v>
      </c>
      <c r="G23" t="s">
        <v>1365</v>
      </c>
    </row>
    <row r="24" spans="1:7">
      <c r="A24" t="s">
        <v>904</v>
      </c>
      <c r="B24" t="s">
        <v>739</v>
      </c>
      <c r="C24" t="s">
        <v>1385</v>
      </c>
      <c r="D24" s="4">
        <v>3</v>
      </c>
      <c r="E24" s="4">
        <v>15</v>
      </c>
      <c r="F24" t="s">
        <v>1364</v>
      </c>
      <c r="G24" t="s">
        <v>1365</v>
      </c>
    </row>
    <row r="25" spans="1:7">
      <c r="A25" t="s">
        <v>904</v>
      </c>
      <c r="B25" t="s">
        <v>1367</v>
      </c>
      <c r="C25" t="s">
        <v>1386</v>
      </c>
      <c r="D25" s="4">
        <v>8</v>
      </c>
      <c r="E25" s="4">
        <v>5</v>
      </c>
      <c r="F25" t="s">
        <v>1364</v>
      </c>
      <c r="G25" t="s">
        <v>1365</v>
      </c>
    </row>
    <row r="26" spans="1:7">
      <c r="A26" t="s">
        <v>904</v>
      </c>
      <c r="B26" t="s">
        <v>1369</v>
      </c>
      <c r="C26" t="s">
        <v>1387</v>
      </c>
      <c r="D26" s="4">
        <v>20</v>
      </c>
      <c r="E26" s="4">
        <v>2</v>
      </c>
      <c r="F26" t="s">
        <v>1364</v>
      </c>
      <c r="G26" t="s">
        <v>1365</v>
      </c>
    </row>
    <row r="29" ht="22" customHeight="1" spans="1:4">
      <c r="A29" s="5" t="s">
        <v>1388</v>
      </c>
      <c r="B29" s="5"/>
      <c r="C29" s="5"/>
      <c r="D29" s="5"/>
    </row>
    <row r="30" spans="1:4">
      <c r="A30" s="6" t="s">
        <v>1389</v>
      </c>
      <c r="B30" s="6"/>
      <c r="C30" s="6"/>
      <c r="D30" s="6"/>
    </row>
    <row r="31" ht="17" spans="1:4">
      <c r="A31" s="3" t="s">
        <v>1031</v>
      </c>
      <c r="B31" s="3" t="s">
        <v>1390</v>
      </c>
      <c r="C31" s="3" t="s">
        <v>1391</v>
      </c>
      <c r="D31" s="3" t="s">
        <v>1392</v>
      </c>
    </row>
    <row r="32" ht="34" spans="1:4">
      <c r="A32" s="7" t="s">
        <v>1393</v>
      </c>
      <c r="B32" s="7" t="s">
        <v>1394</v>
      </c>
      <c r="C32" s="7" t="s">
        <v>1395</v>
      </c>
      <c r="D32" s="7" t="s">
        <v>1396</v>
      </c>
    </row>
    <row r="33" ht="34" spans="1:4">
      <c r="A33" s="10" t="s">
        <v>1397</v>
      </c>
      <c r="B33" s="10" t="s">
        <v>1398</v>
      </c>
      <c r="C33" s="10" t="s">
        <v>1399</v>
      </c>
      <c r="D33" s="10" t="s">
        <v>1400</v>
      </c>
    </row>
    <row r="34" ht="51" spans="1:4">
      <c r="A34" s="10" t="s">
        <v>1401</v>
      </c>
      <c r="B34" s="10" t="s">
        <v>1402</v>
      </c>
      <c r="C34" s="10" t="s">
        <v>1403</v>
      </c>
      <c r="D34" s="10" t="s">
        <v>1404</v>
      </c>
    </row>
    <row r="35" ht="34" spans="1:4">
      <c r="A35" s="10" t="s">
        <v>1405</v>
      </c>
      <c r="B35" s="10" t="s">
        <v>1406</v>
      </c>
      <c r="C35" s="10" t="s">
        <v>1403</v>
      </c>
      <c r="D35" s="10" t="s">
        <v>1407</v>
      </c>
    </row>
    <row r="36" ht="51" spans="1:4">
      <c r="A36" s="10" t="s">
        <v>1408</v>
      </c>
      <c r="B36" s="10" t="s">
        <v>1409</v>
      </c>
      <c r="C36" s="10" t="s">
        <v>1410</v>
      </c>
      <c r="D36" s="10" t="s">
        <v>1411</v>
      </c>
    </row>
    <row r="37" ht="51" spans="1:4">
      <c r="A37" s="10" t="s">
        <v>1412</v>
      </c>
      <c r="B37" s="10" t="s">
        <v>1413</v>
      </c>
      <c r="C37" s="10" t="s">
        <v>1414</v>
      </c>
      <c r="D37" s="10" t="s">
        <v>1415</v>
      </c>
    </row>
    <row r="38" ht="51" spans="1:4">
      <c r="A38" s="10" t="s">
        <v>1416</v>
      </c>
      <c r="B38" s="10" t="s">
        <v>1417</v>
      </c>
      <c r="C38" s="10" t="s">
        <v>1418</v>
      </c>
      <c r="D38" s="10" t="s">
        <v>1419</v>
      </c>
    </row>
    <row r="41" ht="22" customHeight="1" spans="1:4">
      <c r="A41" s="5" t="s">
        <v>1420</v>
      </c>
      <c r="B41" s="5"/>
      <c r="C41" s="5"/>
      <c r="D41" s="5"/>
    </row>
    <row r="42" spans="1:4">
      <c r="A42" s="6" t="s">
        <v>1421</v>
      </c>
      <c r="B42" s="6"/>
      <c r="C42" s="6"/>
      <c r="D42" s="6"/>
    </row>
    <row r="43" ht="17" spans="1:4">
      <c r="A43" s="3" t="s">
        <v>1032</v>
      </c>
      <c r="B43" s="3" t="s">
        <v>1422</v>
      </c>
      <c r="C43" s="3" t="s">
        <v>1423</v>
      </c>
      <c r="D43" s="3" t="s">
        <v>1424</v>
      </c>
    </row>
    <row r="44" ht="34" spans="1:4">
      <c r="A44" s="7" t="s">
        <v>121</v>
      </c>
      <c r="B44" s="7" t="s">
        <v>1425</v>
      </c>
      <c r="C44" s="7" t="s">
        <v>1426</v>
      </c>
      <c r="D44" s="7" t="s">
        <v>1427</v>
      </c>
    </row>
    <row r="45" ht="34" spans="1:4">
      <c r="A45" s="10" t="s">
        <v>118</v>
      </c>
      <c r="B45" s="10" t="s">
        <v>1428</v>
      </c>
      <c r="C45" s="10" t="s">
        <v>1429</v>
      </c>
      <c r="D45" s="10" t="s">
        <v>1430</v>
      </c>
    </row>
    <row r="48" ht="22" customHeight="1" spans="1:5">
      <c r="A48" s="5" t="s">
        <v>1431</v>
      </c>
      <c r="B48" s="5"/>
      <c r="C48" s="5"/>
      <c r="D48" s="5"/>
      <c r="E48" s="5"/>
    </row>
    <row r="49" spans="1:5">
      <c r="A49" s="6" t="s">
        <v>1432</v>
      </c>
      <c r="B49" s="6"/>
      <c r="C49" s="6"/>
      <c r="D49" s="6"/>
      <c r="E49" s="6"/>
    </row>
    <row r="50" ht="17" spans="1:5">
      <c r="A50" s="3" t="s">
        <v>1433</v>
      </c>
      <c r="B50" s="3" t="s">
        <v>1434</v>
      </c>
      <c r="C50" s="3" t="s">
        <v>1422</v>
      </c>
      <c r="D50" s="3" t="s">
        <v>1435</v>
      </c>
      <c r="E50" s="3" t="s">
        <v>1436</v>
      </c>
    </row>
    <row r="51" ht="51" spans="1:5">
      <c r="A51" s="7" t="s">
        <v>1329</v>
      </c>
      <c r="B51" s="7" t="s">
        <v>399</v>
      </c>
      <c r="C51" s="7" t="s">
        <v>1437</v>
      </c>
      <c r="D51" s="7" t="s">
        <v>1438</v>
      </c>
      <c r="E51" s="7" t="s">
        <v>1439</v>
      </c>
    </row>
    <row r="52" ht="34" spans="1:5">
      <c r="A52" s="10" t="s">
        <v>1344</v>
      </c>
      <c r="B52" s="10" t="s">
        <v>407</v>
      </c>
      <c r="C52" s="10" t="s">
        <v>1440</v>
      </c>
      <c r="D52" s="10" t="s">
        <v>1441</v>
      </c>
      <c r="E52" s="10" t="s">
        <v>1442</v>
      </c>
    </row>
    <row r="53" ht="51" spans="1:5">
      <c r="A53" s="10" t="s">
        <v>1443</v>
      </c>
      <c r="B53" s="10" t="s">
        <v>407</v>
      </c>
      <c r="C53" s="10" t="s">
        <v>1444</v>
      </c>
      <c r="D53" s="10" t="s">
        <v>1445</v>
      </c>
      <c r="E53" s="10" t="s">
        <v>1446</v>
      </c>
    </row>
    <row r="54" ht="34" spans="1:5">
      <c r="A54" s="10" t="s">
        <v>1331</v>
      </c>
      <c r="B54" s="10" t="s">
        <v>415</v>
      </c>
      <c r="C54" s="10" t="s">
        <v>1447</v>
      </c>
      <c r="D54" s="10" t="s">
        <v>1448</v>
      </c>
      <c r="E54" s="10" t="s">
        <v>1449</v>
      </c>
    </row>
    <row r="55" ht="34" spans="1:5">
      <c r="A55" s="10" t="s">
        <v>908</v>
      </c>
      <c r="B55" s="10" t="s">
        <v>415</v>
      </c>
      <c r="C55" s="10" t="s">
        <v>1450</v>
      </c>
      <c r="D55" s="10" t="s">
        <v>1451</v>
      </c>
      <c r="E55" s="10" t="s">
        <v>1452</v>
      </c>
    </row>
    <row r="58" ht="22" customHeight="1" spans="1:3">
      <c r="A58" s="5" t="s">
        <v>1453</v>
      </c>
      <c r="B58" s="5"/>
      <c r="C58" s="5"/>
    </row>
    <row r="59" spans="1:3">
      <c r="A59" s="6" t="s">
        <v>1454</v>
      </c>
      <c r="B59" s="6"/>
      <c r="C59" s="6"/>
    </row>
    <row r="60" ht="17" spans="1:3">
      <c r="A60" s="3" t="s">
        <v>1408</v>
      </c>
      <c r="B60" s="3" t="s">
        <v>1455</v>
      </c>
      <c r="C60" s="3" t="s">
        <v>1456</v>
      </c>
    </row>
    <row r="61" ht="17" spans="1:3">
      <c r="A61" s="7" t="s">
        <v>1328</v>
      </c>
      <c r="B61" s="7" t="s">
        <v>1457</v>
      </c>
      <c r="C61" s="7" t="s">
        <v>1458</v>
      </c>
    </row>
    <row r="62" ht="34" spans="1:3">
      <c r="A62" s="10" t="s">
        <v>1333</v>
      </c>
      <c r="B62" s="10" t="s">
        <v>903</v>
      </c>
      <c r="C62" s="10" t="s">
        <v>1459</v>
      </c>
    </row>
    <row r="63" ht="17" spans="1:3">
      <c r="A63" s="10" t="s">
        <v>1460</v>
      </c>
      <c r="B63" s="10" t="s">
        <v>128</v>
      </c>
      <c r="C63" s="10" t="s">
        <v>1461</v>
      </c>
    </row>
    <row r="64" ht="17" spans="1:3">
      <c r="A64" s="10" t="s">
        <v>1462</v>
      </c>
      <c r="B64" s="10" t="s">
        <v>1463</v>
      </c>
      <c r="C64" s="10" t="s">
        <v>1461</v>
      </c>
    </row>
    <row r="65" ht="17" spans="1:3">
      <c r="A65" s="10" t="s">
        <v>190</v>
      </c>
      <c r="B65" s="10" t="s">
        <v>1464</v>
      </c>
      <c r="C65" s="10" t="s">
        <v>1465</v>
      </c>
    </row>
    <row r="66" ht="34" spans="1:3">
      <c r="A66" s="10" t="s">
        <v>1466</v>
      </c>
      <c r="B66" s="10" t="s">
        <v>1467</v>
      </c>
      <c r="C66" s="10" t="s">
        <v>1468</v>
      </c>
    </row>
    <row r="67" ht="34" spans="1:3">
      <c r="A67" s="10" t="s">
        <v>1469</v>
      </c>
      <c r="B67" s="10" t="s">
        <v>1470</v>
      </c>
      <c r="C67" s="10" t="s">
        <v>1471</v>
      </c>
    </row>
    <row r="68" ht="34" spans="1:3">
      <c r="A68" s="10" t="s">
        <v>1472</v>
      </c>
      <c r="B68" s="10" t="s">
        <v>1473</v>
      </c>
      <c r="C68" s="10" t="s">
        <v>1474</v>
      </c>
    </row>
    <row r="69" ht="34" spans="1:3">
      <c r="A69" s="10" t="s">
        <v>1475</v>
      </c>
      <c r="B69" s="10" t="s">
        <v>1476</v>
      </c>
      <c r="C69" s="10" t="s">
        <v>1477</v>
      </c>
    </row>
    <row r="70" ht="34" spans="1:3">
      <c r="A70" s="10" t="s">
        <v>1478</v>
      </c>
      <c r="B70" s="10" t="s">
        <v>1479</v>
      </c>
      <c r="C70" s="10" t="s">
        <v>1480</v>
      </c>
    </row>
    <row r="73" ht="22" customHeight="1" spans="1:3">
      <c r="A73" s="5" t="s">
        <v>1481</v>
      </c>
      <c r="B73" s="5"/>
      <c r="C73" s="5"/>
    </row>
    <row r="74" spans="1:3">
      <c r="A74" s="6" t="s">
        <v>1482</v>
      </c>
      <c r="B74" s="6"/>
      <c r="C74" s="6"/>
    </row>
    <row r="75" ht="17" spans="1:3">
      <c r="A75" s="3" t="s">
        <v>1483</v>
      </c>
      <c r="B75" s="3" t="s">
        <v>1484</v>
      </c>
      <c r="C75" s="3" t="s">
        <v>1485</v>
      </c>
    </row>
    <row r="76" ht="17" spans="1:3">
      <c r="A76" s="7" t="s">
        <v>1362</v>
      </c>
      <c r="B76" s="7" t="s">
        <v>1486</v>
      </c>
      <c r="C76" s="7" t="s">
        <v>1487</v>
      </c>
    </row>
    <row r="77" ht="17" spans="1:3">
      <c r="A77" s="10" t="s">
        <v>739</v>
      </c>
      <c r="B77" s="10" t="s">
        <v>1488</v>
      </c>
      <c r="C77" s="10" t="s">
        <v>1489</v>
      </c>
    </row>
    <row r="78" ht="17" spans="1:3">
      <c r="A78" s="10" t="s">
        <v>1367</v>
      </c>
      <c r="B78" s="10" t="s">
        <v>1490</v>
      </c>
      <c r="C78" s="10" t="s">
        <v>1491</v>
      </c>
    </row>
    <row r="79" ht="17" spans="1:3">
      <c r="A79" s="10" t="s">
        <v>1369</v>
      </c>
      <c r="B79" s="10" t="s">
        <v>1492</v>
      </c>
      <c r="C79" s="10" t="s">
        <v>1493</v>
      </c>
    </row>
    <row r="82" ht="22" customHeight="1" spans="1:5">
      <c r="A82" s="5" t="s">
        <v>1494</v>
      </c>
      <c r="B82" s="5"/>
      <c r="C82" s="5"/>
      <c r="D82" s="5"/>
      <c r="E82" s="5"/>
    </row>
    <row r="83" spans="1:5">
      <c r="A83" s="6" t="s">
        <v>1495</v>
      </c>
      <c r="B83" s="6"/>
      <c r="C83" s="6"/>
      <c r="D83" s="6"/>
      <c r="E83" s="6"/>
    </row>
    <row r="84" ht="17" spans="1:5">
      <c r="A84" s="3" t="s">
        <v>1496</v>
      </c>
      <c r="B84" s="3" t="s">
        <v>1497</v>
      </c>
      <c r="C84" s="3" t="s">
        <v>1498</v>
      </c>
      <c r="D84" s="3" t="s">
        <v>1499</v>
      </c>
      <c r="E84" s="3" t="s">
        <v>1500</v>
      </c>
    </row>
    <row r="85" ht="34" spans="1:5">
      <c r="A85" s="7" t="s">
        <v>1501</v>
      </c>
      <c r="B85" s="7" t="s">
        <v>1502</v>
      </c>
      <c r="C85" s="9">
        <v>12</v>
      </c>
      <c r="D85" s="9">
        <v>1</v>
      </c>
      <c r="E85" s="9">
        <v>30</v>
      </c>
    </row>
    <row r="86" ht="34" spans="1:5">
      <c r="A86" s="10" t="s">
        <v>1503</v>
      </c>
      <c r="B86" s="10" t="s">
        <v>1504</v>
      </c>
      <c r="C86" s="11">
        <v>20</v>
      </c>
      <c r="D86" s="11">
        <v>2</v>
      </c>
      <c r="E86" s="11">
        <v>30</v>
      </c>
    </row>
    <row r="87" ht="34" spans="1:5">
      <c r="A87" s="10" t="s">
        <v>1505</v>
      </c>
      <c r="B87" s="10" t="s">
        <v>1506</v>
      </c>
      <c r="C87" s="11">
        <v>36</v>
      </c>
      <c r="D87" s="11">
        <v>3</v>
      </c>
      <c r="E87" s="11">
        <v>20</v>
      </c>
    </row>
    <row r="88" ht="34" spans="1:5">
      <c r="A88" s="10" t="s">
        <v>1507</v>
      </c>
      <c r="B88" s="10" t="s">
        <v>1508</v>
      </c>
      <c r="C88" s="11">
        <v>70</v>
      </c>
      <c r="D88" s="11">
        <v>5</v>
      </c>
      <c r="E88" s="11">
        <v>10</v>
      </c>
    </row>
    <row r="91" ht="22" customHeight="1" spans="1:3">
      <c r="A91" s="5" t="s">
        <v>1509</v>
      </c>
      <c r="B91" s="5"/>
      <c r="C91" s="5"/>
    </row>
    <row r="92" spans="1:3">
      <c r="A92" s="6" t="s">
        <v>1510</v>
      </c>
      <c r="B92" s="6"/>
      <c r="C92" s="6"/>
    </row>
    <row r="93" ht="17" spans="1:3">
      <c r="A93" s="3" t="s">
        <v>502</v>
      </c>
      <c r="B93" s="3" t="s">
        <v>1511</v>
      </c>
      <c r="C93" s="3" t="s">
        <v>1512</v>
      </c>
    </row>
    <row r="94" ht="51" spans="1:3">
      <c r="A94" s="7" t="s">
        <v>1513</v>
      </c>
      <c r="B94" s="7" t="s">
        <v>1514</v>
      </c>
      <c r="C94" s="7" t="s">
        <v>1515</v>
      </c>
    </row>
    <row r="95" ht="68" spans="1:3">
      <c r="A95" s="10" t="s">
        <v>1516</v>
      </c>
      <c r="B95" s="10" t="s">
        <v>1517</v>
      </c>
      <c r="C95" s="10" t="s">
        <v>1518</v>
      </c>
    </row>
    <row r="96" ht="68" spans="1:3">
      <c r="A96" s="10" t="s">
        <v>1519</v>
      </c>
      <c r="B96" s="10" t="s">
        <v>1520</v>
      </c>
      <c r="C96" s="10" t="s">
        <v>1521</v>
      </c>
    </row>
    <row r="97" ht="84" spans="1:3">
      <c r="A97" s="10" t="s">
        <v>1522</v>
      </c>
      <c r="B97" s="10" t="s">
        <v>1523</v>
      </c>
      <c r="C97" s="10" t="s">
        <v>1524</v>
      </c>
    </row>
    <row r="100" ht="22" customHeight="1" spans="1:4">
      <c r="A100" s="5" t="s">
        <v>1509</v>
      </c>
      <c r="B100" s="5"/>
      <c r="C100" s="5"/>
      <c r="D100" s="5"/>
    </row>
    <row r="101" spans="1:4">
      <c r="A101" s="6" t="s">
        <v>1525</v>
      </c>
      <c r="B101" s="6"/>
      <c r="C101" s="6"/>
      <c r="D101" s="6"/>
    </row>
    <row r="102" ht="17" spans="1:4">
      <c r="A102" s="3" t="s">
        <v>502</v>
      </c>
      <c r="B102" s="3" t="s">
        <v>1526</v>
      </c>
      <c r="C102" s="3" t="s">
        <v>1527</v>
      </c>
      <c r="D102" s="3" t="s">
        <v>1528</v>
      </c>
    </row>
    <row r="103" ht="17" spans="1:4">
      <c r="A103" s="7" t="s">
        <v>399</v>
      </c>
      <c r="B103" s="7" t="s">
        <v>128</v>
      </c>
      <c r="C103" s="7" t="s">
        <v>1529</v>
      </c>
      <c r="D103" s="7" t="s">
        <v>1530</v>
      </c>
    </row>
    <row r="104" ht="17" spans="1:4">
      <c r="A104" s="10" t="s">
        <v>399</v>
      </c>
      <c r="B104" s="10" t="s">
        <v>903</v>
      </c>
      <c r="C104" s="10" t="s">
        <v>1531</v>
      </c>
      <c r="D104" s="10" t="s">
        <v>1532</v>
      </c>
    </row>
    <row r="105" ht="17" spans="1:4">
      <c r="A105" s="10" t="s">
        <v>399</v>
      </c>
      <c r="B105" s="10" t="s">
        <v>1326</v>
      </c>
      <c r="C105" s="10" t="s">
        <v>1533</v>
      </c>
      <c r="D105" s="10" t="s">
        <v>1534</v>
      </c>
    </row>
    <row r="106" ht="17" spans="1:4">
      <c r="A106" s="10" t="s">
        <v>407</v>
      </c>
      <c r="B106" s="10" t="s">
        <v>128</v>
      </c>
      <c r="C106" s="10" t="s">
        <v>1535</v>
      </c>
      <c r="D106" s="10" t="s">
        <v>1536</v>
      </c>
    </row>
    <row r="107" ht="17" spans="1:4">
      <c r="A107" s="10" t="s">
        <v>407</v>
      </c>
      <c r="B107" s="10" t="s">
        <v>903</v>
      </c>
      <c r="C107" s="10" t="s">
        <v>1537</v>
      </c>
      <c r="D107" s="10" t="s">
        <v>1538</v>
      </c>
    </row>
    <row r="108" ht="17" spans="1:4">
      <c r="A108" s="10" t="s">
        <v>407</v>
      </c>
      <c r="B108" s="10" t="s">
        <v>1326</v>
      </c>
      <c r="C108" s="10" t="s">
        <v>1539</v>
      </c>
      <c r="D108" s="10" t="s">
        <v>1533</v>
      </c>
    </row>
    <row r="109" ht="17" spans="1:4">
      <c r="A109" s="10" t="s">
        <v>415</v>
      </c>
      <c r="B109" s="10" t="s">
        <v>903</v>
      </c>
      <c r="C109" s="10" t="s">
        <v>1540</v>
      </c>
      <c r="D109" s="10" t="s">
        <v>1541</v>
      </c>
    </row>
    <row r="110" ht="17" spans="1:4">
      <c r="A110" s="10" t="s">
        <v>415</v>
      </c>
      <c r="B110" s="10" t="s">
        <v>1326</v>
      </c>
      <c r="C110" s="10" t="s">
        <v>1542</v>
      </c>
      <c r="D110" s="10" t="s">
        <v>1539</v>
      </c>
    </row>
    <row r="111" ht="17" spans="1:4">
      <c r="A111" s="10" t="s">
        <v>415</v>
      </c>
      <c r="B111" s="10" t="s">
        <v>904</v>
      </c>
      <c r="C111" s="10" t="s">
        <v>1534</v>
      </c>
      <c r="D111" s="11">
        <v>1</v>
      </c>
    </row>
    <row r="112" ht="17" spans="1:4">
      <c r="A112" s="10" t="s">
        <v>423</v>
      </c>
      <c r="B112" s="10" t="s">
        <v>1326</v>
      </c>
      <c r="C112" s="10" t="s">
        <v>1543</v>
      </c>
      <c r="D112" s="10" t="s">
        <v>1544</v>
      </c>
    </row>
    <row r="113" ht="17" spans="1:4">
      <c r="A113" s="10" t="s">
        <v>423</v>
      </c>
      <c r="B113" s="10" t="s">
        <v>904</v>
      </c>
      <c r="C113" s="10" t="s">
        <v>1533</v>
      </c>
      <c r="D113" s="10" t="s">
        <v>1534</v>
      </c>
    </row>
    <row r="116" ht="22" customHeight="1" spans="1:4">
      <c r="A116" s="5" t="s">
        <v>1509</v>
      </c>
      <c r="B116" s="5"/>
      <c r="C116" s="5"/>
      <c r="D116" s="5"/>
    </row>
    <row r="117" spans="1:4">
      <c r="A117" s="6" t="s">
        <v>1545</v>
      </c>
      <c r="B117" s="6"/>
      <c r="C117" s="6"/>
      <c r="D117" s="6"/>
    </row>
    <row r="118" ht="17" spans="1:4">
      <c r="A118" s="3" t="s">
        <v>502</v>
      </c>
      <c r="B118" s="3" t="s">
        <v>1546</v>
      </c>
      <c r="C118" s="3" t="s">
        <v>1527</v>
      </c>
      <c r="D118" s="3" t="s">
        <v>1528</v>
      </c>
    </row>
    <row r="119" ht="17" spans="1:4">
      <c r="A119" s="7" t="s">
        <v>399</v>
      </c>
      <c r="B119" s="7" t="s">
        <v>1329</v>
      </c>
      <c r="C119" s="9">
        <v>2</v>
      </c>
      <c r="D119" s="9">
        <v>1</v>
      </c>
    </row>
    <row r="120" ht="17" spans="1:4">
      <c r="A120" s="10" t="s">
        <v>407</v>
      </c>
      <c r="B120" s="10" t="s">
        <v>1344</v>
      </c>
      <c r="C120" s="11">
        <v>2</v>
      </c>
      <c r="D120" s="11">
        <v>1</v>
      </c>
    </row>
    <row r="121" ht="34" spans="1:4">
      <c r="A121" s="10" t="s">
        <v>407</v>
      </c>
      <c r="B121" s="10" t="s">
        <v>1443</v>
      </c>
      <c r="C121" s="10" t="s">
        <v>1534</v>
      </c>
      <c r="D121" s="10" t="s">
        <v>1547</v>
      </c>
    </row>
    <row r="122" ht="17" spans="1:4">
      <c r="A122" s="10" t="s">
        <v>415</v>
      </c>
      <c r="B122" s="10" t="s">
        <v>1331</v>
      </c>
      <c r="C122" s="11">
        <v>2</v>
      </c>
      <c r="D122" s="11">
        <v>1</v>
      </c>
    </row>
    <row r="123" ht="17" spans="1:4">
      <c r="A123" s="10" t="s">
        <v>415</v>
      </c>
      <c r="B123" s="10" t="s">
        <v>908</v>
      </c>
      <c r="C123" s="10" t="s">
        <v>1548</v>
      </c>
      <c r="D123" s="10" t="s">
        <v>1534</v>
      </c>
    </row>
    <row r="124" ht="17" spans="1:4">
      <c r="A124" s="10" t="s">
        <v>423</v>
      </c>
      <c r="B124" s="10" t="s">
        <v>1331</v>
      </c>
      <c r="C124" s="10" t="s">
        <v>1548</v>
      </c>
      <c r="D124" s="11">
        <v>1</v>
      </c>
    </row>
    <row r="125" ht="17" spans="1:4">
      <c r="A125" s="10" t="s">
        <v>423</v>
      </c>
      <c r="B125" s="10" t="s">
        <v>1549</v>
      </c>
      <c r="C125" s="11">
        <v>2</v>
      </c>
      <c r="D125" s="11">
        <v>1</v>
      </c>
    </row>
  </sheetData>
  <mergeCells count="22">
    <mergeCell ref="A1:H1"/>
    <mergeCell ref="A2:H2"/>
    <mergeCell ref="A4:G4"/>
    <mergeCell ref="A5:G5"/>
    <mergeCell ref="A29:D29"/>
    <mergeCell ref="A30:D30"/>
    <mergeCell ref="A41:D41"/>
    <mergeCell ref="A42:D42"/>
    <mergeCell ref="A48:E48"/>
    <mergeCell ref="A49:E49"/>
    <mergeCell ref="A58:C58"/>
    <mergeCell ref="A59:C59"/>
    <mergeCell ref="A73:C73"/>
    <mergeCell ref="A74:C74"/>
    <mergeCell ref="A82:E82"/>
    <mergeCell ref="A83:E83"/>
    <mergeCell ref="A91:C91"/>
    <mergeCell ref="A92:C92"/>
    <mergeCell ref="A100:D100"/>
    <mergeCell ref="A101:D101"/>
    <mergeCell ref="A116:D116"/>
    <mergeCell ref="A117:D117"/>
  </mergeCells>
  <pageMargins left="0.7" right="0.7" top="0.75" bottom="0.75" header="0.3" footer="0.3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2"/>
  <sheetViews>
    <sheetView showGridLines="0" workbookViewId="0">
      <selection activeCell="A1" sqref="A1:I1"/>
    </sheetView>
  </sheetViews>
  <sheetFormatPr defaultColWidth="9" defaultRowHeight="16.8"/>
  <cols>
    <col min="1" max="1" width="24" customWidth="1"/>
    <col min="2" max="2" width="20" customWidth="1"/>
    <col min="3" max="4" width="18" customWidth="1"/>
    <col min="5" max="5" width="28" customWidth="1"/>
    <col min="6" max="6" width="42" customWidth="1"/>
    <col min="7" max="7" width="26" customWidth="1"/>
    <col min="8" max="8" width="28" customWidth="1"/>
    <col min="9" max="9" width="42" customWidth="1"/>
  </cols>
  <sheetData>
    <row r="1" ht="30" customHeight="1" spans="1:9">
      <c r="A1" s="1" t="s">
        <v>1550</v>
      </c>
      <c r="B1" s="1"/>
      <c r="C1" s="1"/>
      <c r="D1" s="1"/>
      <c r="E1" s="1"/>
      <c r="F1" s="1"/>
      <c r="G1" s="1"/>
      <c r="H1" s="1"/>
      <c r="I1" s="1"/>
    </row>
    <row r="2" ht="30" customHeight="1" spans="1:9">
      <c r="A2" s="2" t="s">
        <v>1551</v>
      </c>
      <c r="B2" s="2"/>
      <c r="C2" s="2"/>
      <c r="D2" s="2"/>
      <c r="E2" s="2"/>
      <c r="F2" s="2"/>
      <c r="G2" s="2"/>
      <c r="H2" s="2"/>
      <c r="I2" s="2"/>
    </row>
    <row r="4" ht="22" customHeight="1" spans="1:5">
      <c r="A4" s="5" t="s">
        <v>1552</v>
      </c>
      <c r="B4" s="5"/>
      <c r="C4" s="5"/>
      <c r="D4" s="5"/>
      <c r="E4" s="5"/>
    </row>
    <row r="5" spans="1:5">
      <c r="A5" s="6" t="s">
        <v>1553</v>
      </c>
      <c r="B5" s="6"/>
      <c r="C5" s="6"/>
      <c r="D5" s="6"/>
      <c r="E5" s="6"/>
    </row>
    <row r="6" ht="17" spans="1:4">
      <c r="A6" s="3" t="s">
        <v>1554</v>
      </c>
      <c r="B6" s="3" t="s">
        <v>1555</v>
      </c>
      <c r="C6" s="3" t="s">
        <v>1556</v>
      </c>
      <c r="D6" s="3" t="s">
        <v>1557</v>
      </c>
    </row>
    <row r="7" spans="1:4">
      <c r="A7" t="s">
        <v>399</v>
      </c>
      <c r="B7" s="4">
        <v>1</v>
      </c>
      <c r="C7" s="16">
        <f>'01_关键参数'!$C$16+'01_关键参数'!$C$17*(B7-1)</f>
        <v>600</v>
      </c>
      <c r="D7" t="s">
        <v>1558</v>
      </c>
    </row>
    <row r="8" spans="1:4">
      <c r="A8" t="s">
        <v>407</v>
      </c>
      <c r="B8" s="4">
        <v>2</v>
      </c>
      <c r="C8" s="16">
        <f>'01_关键参数'!$C$16+'01_关键参数'!$C$17*(B8-1)</f>
        <v>900</v>
      </c>
      <c r="D8" t="s">
        <v>1558</v>
      </c>
    </row>
    <row r="9" spans="1:4">
      <c r="A9" t="s">
        <v>415</v>
      </c>
      <c r="B9" s="4">
        <v>3</v>
      </c>
      <c r="C9" s="16">
        <f>'01_关键参数'!$C$16+'01_关键参数'!$C$17*(B9-1)</f>
        <v>1200</v>
      </c>
      <c r="D9" t="s">
        <v>1558</v>
      </c>
    </row>
    <row r="10" spans="1:4">
      <c r="A10" t="s">
        <v>423</v>
      </c>
      <c r="B10" s="4">
        <v>4</v>
      </c>
      <c r="C10" s="16">
        <f>'01_关键参数'!$C$16+'01_关键参数'!$C$17*(B10-1)</f>
        <v>1500</v>
      </c>
      <c r="D10" t="s">
        <v>1558</v>
      </c>
    </row>
    <row r="11" ht="22" customHeight="1" spans="1:6">
      <c r="A11" s="5" t="s">
        <v>1559</v>
      </c>
      <c r="B11" s="5"/>
      <c r="C11" s="5"/>
      <c r="D11" s="5"/>
      <c r="E11" s="5"/>
      <c r="F11" s="5"/>
    </row>
    <row r="12" spans="1:6">
      <c r="A12" s="6" t="s">
        <v>1560</v>
      </c>
      <c r="B12" s="6"/>
      <c r="C12" s="6"/>
      <c r="D12" s="6"/>
      <c r="E12" s="6"/>
      <c r="F12" s="6"/>
    </row>
    <row r="13" ht="17" spans="1:6">
      <c r="A13" s="3" t="s">
        <v>1358</v>
      </c>
      <c r="B13" s="3" t="s">
        <v>1561</v>
      </c>
      <c r="C13" s="3" t="s">
        <v>1562</v>
      </c>
      <c r="D13" s="3" t="s">
        <v>1563</v>
      </c>
      <c r="E13" s="3" t="s">
        <v>1564</v>
      </c>
      <c r="F13" s="3" t="s">
        <v>136</v>
      </c>
    </row>
    <row r="14" spans="1:6">
      <c r="A14" t="s">
        <v>1362</v>
      </c>
      <c r="B14" s="4">
        <v>80</v>
      </c>
      <c r="C14" s="4">
        <v>60</v>
      </c>
      <c r="D14" s="16">
        <f>B14-C14</f>
        <v>20</v>
      </c>
      <c r="E14" s="4">
        <v>600</v>
      </c>
      <c r="F14" s="17" t="str">
        <f>IF(D14&lt;E14,"通过","检查")</f>
        <v>通过</v>
      </c>
    </row>
    <row r="15" spans="1:6">
      <c r="A15" t="s">
        <v>739</v>
      </c>
      <c r="B15" s="4">
        <v>240</v>
      </c>
      <c r="C15" s="4">
        <v>180</v>
      </c>
      <c r="D15" s="16">
        <f>B15-C15</f>
        <v>60</v>
      </c>
      <c r="E15" s="4">
        <v>600</v>
      </c>
      <c r="F15" s="17" t="str">
        <f>IF(D15&lt;E15,"通过","检查")</f>
        <v>通过</v>
      </c>
    </row>
    <row r="16" spans="1:6">
      <c r="A16" t="s">
        <v>1367</v>
      </c>
      <c r="B16" s="4">
        <v>650</v>
      </c>
      <c r="C16" s="4">
        <v>500</v>
      </c>
      <c r="D16" s="16">
        <f>B16-C16</f>
        <v>150</v>
      </c>
      <c r="E16" s="4">
        <v>600</v>
      </c>
      <c r="F16" s="17" t="str">
        <f>IF(D16&lt;E16,"通过","检查")</f>
        <v>通过</v>
      </c>
    </row>
    <row r="17" spans="1:6">
      <c r="A17" t="s">
        <v>1369</v>
      </c>
      <c r="B17" s="4">
        <v>1600</v>
      </c>
      <c r="C17" s="4">
        <v>1250</v>
      </c>
      <c r="D17" s="16">
        <f>B17-C17</f>
        <v>350</v>
      </c>
      <c r="E17" s="4">
        <v>600</v>
      </c>
      <c r="F17" s="17" t="str">
        <f>IF(D17&lt;E17,"通过","检查")</f>
        <v>通过</v>
      </c>
    </row>
    <row r="20" ht="22" customHeight="1" spans="1:6">
      <c r="A20" s="5" t="s">
        <v>1565</v>
      </c>
      <c r="B20" s="5"/>
      <c r="C20" s="5"/>
      <c r="D20" s="5"/>
      <c r="E20" s="5"/>
      <c r="F20" s="5"/>
    </row>
    <row r="21" spans="1:6">
      <c r="A21" s="6" t="s">
        <v>1566</v>
      </c>
      <c r="B21" s="6"/>
      <c r="C21" s="6"/>
      <c r="D21" s="6"/>
      <c r="E21" s="6"/>
      <c r="F21" s="6"/>
    </row>
    <row r="22" ht="17" spans="1:6">
      <c r="A22" s="3" t="s">
        <v>175</v>
      </c>
      <c r="B22" s="3" t="s">
        <v>174</v>
      </c>
      <c r="C22" s="3" t="s">
        <v>1567</v>
      </c>
      <c r="D22" s="3" t="s">
        <v>1568</v>
      </c>
      <c r="E22" s="3" t="s">
        <v>1569</v>
      </c>
      <c r="F22" s="3" t="s">
        <v>79</v>
      </c>
    </row>
    <row r="23" spans="1:6">
      <c r="A23" s="4">
        <v>1</v>
      </c>
      <c r="B23" t="s">
        <v>177</v>
      </c>
      <c r="C23" s="16">
        <f t="shared" ref="C23:C52" si="0">IF(A23&lt;=10,20+8*A23,IF(A23&lt;=20,100+15*(A23-10),300+25*(A23-20)))</f>
        <v>28</v>
      </c>
      <c r="D23" s="16">
        <f t="shared" ref="D23:D52" si="1">ROUNDUP(C23/5,0)*5</f>
        <v>30</v>
      </c>
      <c r="E23" t="s">
        <v>1570</v>
      </c>
      <c r="F23" t="s">
        <v>1571</v>
      </c>
    </row>
    <row r="24" spans="1:6">
      <c r="A24" s="4">
        <v>2</v>
      </c>
      <c r="B24" t="s">
        <v>177</v>
      </c>
      <c r="C24" s="16">
        <f t="shared" si="0"/>
        <v>36</v>
      </c>
      <c r="D24" s="16">
        <f t="shared" si="1"/>
        <v>40</v>
      </c>
      <c r="E24" t="s">
        <v>1570</v>
      </c>
      <c r="F24" t="s">
        <v>1571</v>
      </c>
    </row>
    <row r="25" spans="1:6">
      <c r="A25" s="4">
        <v>3</v>
      </c>
      <c r="B25" t="s">
        <v>177</v>
      </c>
      <c r="C25" s="16">
        <f t="shared" si="0"/>
        <v>44</v>
      </c>
      <c r="D25" s="16">
        <f t="shared" si="1"/>
        <v>45</v>
      </c>
      <c r="E25" t="s">
        <v>1570</v>
      </c>
      <c r="F25" t="s">
        <v>1571</v>
      </c>
    </row>
    <row r="26" spans="1:6">
      <c r="A26" s="4">
        <v>4</v>
      </c>
      <c r="B26" t="s">
        <v>177</v>
      </c>
      <c r="C26" s="16">
        <f t="shared" si="0"/>
        <v>52</v>
      </c>
      <c r="D26" s="16">
        <f t="shared" si="1"/>
        <v>55</v>
      </c>
      <c r="E26" t="s">
        <v>1570</v>
      </c>
      <c r="F26" t="s">
        <v>1571</v>
      </c>
    </row>
    <row r="27" spans="1:6">
      <c r="A27" s="4">
        <v>5</v>
      </c>
      <c r="B27" t="s">
        <v>177</v>
      </c>
      <c r="C27" s="16">
        <f t="shared" si="0"/>
        <v>60</v>
      </c>
      <c r="D27" s="16">
        <f t="shared" si="1"/>
        <v>60</v>
      </c>
      <c r="E27" t="s">
        <v>1570</v>
      </c>
      <c r="F27" t="s">
        <v>1571</v>
      </c>
    </row>
    <row r="28" spans="1:6">
      <c r="A28" s="4">
        <v>6</v>
      </c>
      <c r="B28" t="s">
        <v>177</v>
      </c>
      <c r="C28" s="16">
        <f t="shared" si="0"/>
        <v>68</v>
      </c>
      <c r="D28" s="16">
        <f t="shared" si="1"/>
        <v>70</v>
      </c>
      <c r="E28" t="s">
        <v>1570</v>
      </c>
      <c r="F28" t="s">
        <v>1571</v>
      </c>
    </row>
    <row r="29" spans="1:6">
      <c r="A29" s="4">
        <v>7</v>
      </c>
      <c r="B29" t="s">
        <v>177</v>
      </c>
      <c r="C29" s="16">
        <f t="shared" si="0"/>
        <v>76</v>
      </c>
      <c r="D29" s="16">
        <f t="shared" si="1"/>
        <v>80</v>
      </c>
      <c r="E29" t="s">
        <v>1570</v>
      </c>
      <c r="F29" t="s">
        <v>1571</v>
      </c>
    </row>
    <row r="30" spans="1:6">
      <c r="A30" s="4">
        <v>8</v>
      </c>
      <c r="B30" t="s">
        <v>177</v>
      </c>
      <c r="C30" s="16">
        <f t="shared" si="0"/>
        <v>84</v>
      </c>
      <c r="D30" s="16">
        <f t="shared" si="1"/>
        <v>85</v>
      </c>
      <c r="E30" t="s">
        <v>1570</v>
      </c>
      <c r="F30" t="s">
        <v>1571</v>
      </c>
    </row>
    <row r="31" spans="1:6">
      <c r="A31" s="4">
        <v>9</v>
      </c>
      <c r="B31" t="s">
        <v>177</v>
      </c>
      <c r="C31" s="16">
        <f t="shared" si="0"/>
        <v>92</v>
      </c>
      <c r="D31" s="16">
        <f t="shared" si="1"/>
        <v>95</v>
      </c>
      <c r="E31" t="s">
        <v>1570</v>
      </c>
      <c r="F31" t="s">
        <v>1571</v>
      </c>
    </row>
    <row r="32" spans="1:6">
      <c r="A32" s="4">
        <v>10</v>
      </c>
      <c r="B32" t="s">
        <v>177</v>
      </c>
      <c r="C32" s="16">
        <f t="shared" si="0"/>
        <v>100</v>
      </c>
      <c r="D32" s="16">
        <f t="shared" si="1"/>
        <v>100</v>
      </c>
      <c r="E32" t="s">
        <v>1570</v>
      </c>
      <c r="F32" t="s">
        <v>1571</v>
      </c>
    </row>
    <row r="33" spans="1:6">
      <c r="A33" s="4">
        <v>11</v>
      </c>
      <c r="B33" t="s">
        <v>180</v>
      </c>
      <c r="C33" s="16">
        <f t="shared" si="0"/>
        <v>115</v>
      </c>
      <c r="D33" s="16">
        <f t="shared" si="1"/>
        <v>115</v>
      </c>
      <c r="E33" t="s">
        <v>1572</v>
      </c>
      <c r="F33" t="s">
        <v>1571</v>
      </c>
    </row>
    <row r="34" spans="1:6">
      <c r="A34" s="4">
        <v>12</v>
      </c>
      <c r="B34" t="s">
        <v>180</v>
      </c>
      <c r="C34" s="16">
        <f t="shared" si="0"/>
        <v>130</v>
      </c>
      <c r="D34" s="16">
        <f t="shared" si="1"/>
        <v>130</v>
      </c>
      <c r="E34" t="s">
        <v>1572</v>
      </c>
      <c r="F34" t="s">
        <v>1571</v>
      </c>
    </row>
    <row r="35" spans="1:6">
      <c r="A35" s="4">
        <v>13</v>
      </c>
      <c r="B35" t="s">
        <v>180</v>
      </c>
      <c r="C35" s="16">
        <f t="shared" si="0"/>
        <v>145</v>
      </c>
      <c r="D35" s="16">
        <f t="shared" si="1"/>
        <v>145</v>
      </c>
      <c r="E35" t="s">
        <v>1572</v>
      </c>
      <c r="F35" t="s">
        <v>1571</v>
      </c>
    </row>
    <row r="36" spans="1:6">
      <c r="A36" s="4">
        <v>14</v>
      </c>
      <c r="B36" t="s">
        <v>180</v>
      </c>
      <c r="C36" s="16">
        <f t="shared" si="0"/>
        <v>160</v>
      </c>
      <c r="D36" s="16">
        <f t="shared" si="1"/>
        <v>160</v>
      </c>
      <c r="E36" t="s">
        <v>1572</v>
      </c>
      <c r="F36" t="s">
        <v>1571</v>
      </c>
    </row>
    <row r="37" spans="1:6">
      <c r="A37" s="4">
        <v>15</v>
      </c>
      <c r="B37" t="s">
        <v>180</v>
      </c>
      <c r="C37" s="16">
        <f t="shared" si="0"/>
        <v>175</v>
      </c>
      <c r="D37" s="16">
        <f t="shared" si="1"/>
        <v>175</v>
      </c>
      <c r="E37" t="s">
        <v>1572</v>
      </c>
      <c r="F37" t="s">
        <v>1571</v>
      </c>
    </row>
    <row r="38" spans="1:6">
      <c r="A38" s="4">
        <v>16</v>
      </c>
      <c r="B38" t="s">
        <v>180</v>
      </c>
      <c r="C38" s="16">
        <f t="shared" si="0"/>
        <v>190</v>
      </c>
      <c r="D38" s="16">
        <f t="shared" si="1"/>
        <v>190</v>
      </c>
      <c r="E38" t="s">
        <v>1572</v>
      </c>
      <c r="F38" t="s">
        <v>1571</v>
      </c>
    </row>
    <row r="39" spans="1:6">
      <c r="A39" s="4">
        <v>17</v>
      </c>
      <c r="B39" t="s">
        <v>180</v>
      </c>
      <c r="C39" s="16">
        <f t="shared" si="0"/>
        <v>205</v>
      </c>
      <c r="D39" s="16">
        <f t="shared" si="1"/>
        <v>205</v>
      </c>
      <c r="E39" t="s">
        <v>1572</v>
      </c>
      <c r="F39" t="s">
        <v>1571</v>
      </c>
    </row>
    <row r="40" spans="1:6">
      <c r="A40" s="4">
        <v>18</v>
      </c>
      <c r="B40" t="s">
        <v>180</v>
      </c>
      <c r="C40" s="16">
        <f t="shared" si="0"/>
        <v>220</v>
      </c>
      <c r="D40" s="16">
        <f t="shared" si="1"/>
        <v>220</v>
      </c>
      <c r="E40" t="s">
        <v>1572</v>
      </c>
      <c r="F40" t="s">
        <v>1571</v>
      </c>
    </row>
    <row r="41" spans="1:6">
      <c r="A41" s="4">
        <v>19</v>
      </c>
      <c r="B41" t="s">
        <v>180</v>
      </c>
      <c r="C41" s="16">
        <f t="shared" si="0"/>
        <v>235</v>
      </c>
      <c r="D41" s="16">
        <f t="shared" si="1"/>
        <v>235</v>
      </c>
      <c r="E41" t="s">
        <v>1572</v>
      </c>
      <c r="F41" t="s">
        <v>1571</v>
      </c>
    </row>
    <row r="42" spans="1:6">
      <c r="A42" s="4">
        <v>20</v>
      </c>
      <c r="B42" t="s">
        <v>180</v>
      </c>
      <c r="C42" s="16">
        <f t="shared" si="0"/>
        <v>250</v>
      </c>
      <c r="D42" s="16">
        <f t="shared" si="1"/>
        <v>250</v>
      </c>
      <c r="E42" t="s">
        <v>1572</v>
      </c>
      <c r="F42" t="s">
        <v>1571</v>
      </c>
    </row>
    <row r="43" spans="1:6">
      <c r="A43" s="4">
        <v>21</v>
      </c>
      <c r="B43" t="s">
        <v>183</v>
      </c>
      <c r="C43" s="16">
        <f t="shared" si="0"/>
        <v>325</v>
      </c>
      <c r="D43" s="16">
        <f t="shared" si="1"/>
        <v>325</v>
      </c>
      <c r="E43" t="s">
        <v>1573</v>
      </c>
      <c r="F43" t="s">
        <v>1571</v>
      </c>
    </row>
    <row r="44" spans="1:6">
      <c r="A44" s="4">
        <v>22</v>
      </c>
      <c r="B44" t="s">
        <v>183</v>
      </c>
      <c r="C44" s="16">
        <f t="shared" si="0"/>
        <v>350</v>
      </c>
      <c r="D44" s="16">
        <f t="shared" si="1"/>
        <v>350</v>
      </c>
      <c r="E44" t="s">
        <v>1573</v>
      </c>
      <c r="F44" t="s">
        <v>1571</v>
      </c>
    </row>
    <row r="45" spans="1:6">
      <c r="A45" s="4">
        <v>23</v>
      </c>
      <c r="B45" t="s">
        <v>183</v>
      </c>
      <c r="C45" s="16">
        <f t="shared" si="0"/>
        <v>375</v>
      </c>
      <c r="D45" s="16">
        <f t="shared" si="1"/>
        <v>375</v>
      </c>
      <c r="E45" t="s">
        <v>1573</v>
      </c>
      <c r="F45" t="s">
        <v>1571</v>
      </c>
    </row>
    <row r="46" spans="1:6">
      <c r="A46" s="4">
        <v>24</v>
      </c>
      <c r="B46" t="s">
        <v>183</v>
      </c>
      <c r="C46" s="16">
        <f t="shared" si="0"/>
        <v>400</v>
      </c>
      <c r="D46" s="16">
        <f t="shared" si="1"/>
        <v>400</v>
      </c>
      <c r="E46" t="s">
        <v>1573</v>
      </c>
      <c r="F46" t="s">
        <v>1571</v>
      </c>
    </row>
    <row r="47" spans="1:6">
      <c r="A47" s="4">
        <v>25</v>
      </c>
      <c r="B47" t="s">
        <v>183</v>
      </c>
      <c r="C47" s="16">
        <f t="shared" si="0"/>
        <v>425</v>
      </c>
      <c r="D47" s="16">
        <f t="shared" si="1"/>
        <v>425</v>
      </c>
      <c r="E47" t="s">
        <v>1573</v>
      </c>
      <c r="F47" t="s">
        <v>1571</v>
      </c>
    </row>
    <row r="48" spans="1:6">
      <c r="A48" s="4">
        <v>26</v>
      </c>
      <c r="B48" t="s">
        <v>183</v>
      </c>
      <c r="C48" s="16">
        <f t="shared" si="0"/>
        <v>450</v>
      </c>
      <c r="D48" s="16">
        <f t="shared" si="1"/>
        <v>450</v>
      </c>
      <c r="E48" t="s">
        <v>1573</v>
      </c>
      <c r="F48" t="s">
        <v>1571</v>
      </c>
    </row>
    <row r="49" spans="1:6">
      <c r="A49" s="4">
        <v>27</v>
      </c>
      <c r="B49" t="s">
        <v>183</v>
      </c>
      <c r="C49" s="16">
        <f t="shared" si="0"/>
        <v>475</v>
      </c>
      <c r="D49" s="16">
        <f t="shared" si="1"/>
        <v>475</v>
      </c>
      <c r="E49" t="s">
        <v>1573</v>
      </c>
      <c r="F49" t="s">
        <v>1571</v>
      </c>
    </row>
    <row r="50" spans="1:6">
      <c r="A50" s="4">
        <v>28</v>
      </c>
      <c r="B50" t="s">
        <v>183</v>
      </c>
      <c r="C50" s="16">
        <f t="shared" si="0"/>
        <v>500</v>
      </c>
      <c r="D50" s="16">
        <f t="shared" si="1"/>
        <v>500</v>
      </c>
      <c r="E50" t="s">
        <v>1573</v>
      </c>
      <c r="F50" t="s">
        <v>1571</v>
      </c>
    </row>
    <row r="51" spans="1:6">
      <c r="A51" s="4">
        <v>29</v>
      </c>
      <c r="B51" t="s">
        <v>183</v>
      </c>
      <c r="C51" s="16">
        <f t="shared" si="0"/>
        <v>525</v>
      </c>
      <c r="D51" s="16">
        <f t="shared" si="1"/>
        <v>525</v>
      </c>
      <c r="E51" t="s">
        <v>1573</v>
      </c>
      <c r="F51" t="s">
        <v>1571</v>
      </c>
    </row>
    <row r="52" spans="1:6">
      <c r="A52" s="4">
        <v>30</v>
      </c>
      <c r="B52" t="s">
        <v>183</v>
      </c>
      <c r="C52" s="16">
        <f t="shared" si="0"/>
        <v>550</v>
      </c>
      <c r="D52" s="16">
        <f t="shared" si="1"/>
        <v>550</v>
      </c>
      <c r="E52" t="s">
        <v>1573</v>
      </c>
      <c r="F52" t="s">
        <v>1571</v>
      </c>
    </row>
    <row r="55" ht="22" customHeight="1" spans="1:3">
      <c r="A55" s="5" t="s">
        <v>1574</v>
      </c>
      <c r="B55" s="5"/>
      <c r="C55" s="5"/>
    </row>
    <row r="56" spans="1:3">
      <c r="A56" s="6" t="s">
        <v>1575</v>
      </c>
      <c r="B56" s="6"/>
      <c r="C56" s="6"/>
    </row>
    <row r="57" ht="17" spans="1:3">
      <c r="A57" s="3" t="s">
        <v>1576</v>
      </c>
      <c r="B57" s="3" t="s">
        <v>1577</v>
      </c>
      <c r="C57" s="3" t="s">
        <v>1578</v>
      </c>
    </row>
    <row r="58" ht="17" spans="1:3">
      <c r="A58" s="7" t="s">
        <v>1501</v>
      </c>
      <c r="B58" s="9">
        <v>40</v>
      </c>
      <c r="C58" s="9">
        <v>5</v>
      </c>
    </row>
    <row r="59" ht="17" spans="1:3">
      <c r="A59" s="10" t="s">
        <v>1333</v>
      </c>
      <c r="B59" s="11">
        <v>100</v>
      </c>
      <c r="C59" s="11">
        <v>2</v>
      </c>
    </row>
    <row r="60" ht="17" spans="1:3">
      <c r="A60" s="10" t="s">
        <v>1328</v>
      </c>
      <c r="B60" s="11">
        <v>160</v>
      </c>
      <c r="C60" s="11">
        <v>2</v>
      </c>
    </row>
    <row r="61" ht="17" spans="1:3">
      <c r="A61" s="10" t="s">
        <v>1579</v>
      </c>
      <c r="B61" s="11">
        <v>500</v>
      </c>
      <c r="C61" s="11">
        <v>1</v>
      </c>
    </row>
    <row r="64" ht="22" customHeight="1" spans="1:4">
      <c r="A64" s="5" t="s">
        <v>1580</v>
      </c>
      <c r="B64" s="5"/>
      <c r="C64" s="5"/>
      <c r="D64" s="5"/>
    </row>
    <row r="65" spans="1:4">
      <c r="A65" s="6" t="s">
        <v>1581</v>
      </c>
      <c r="B65" s="6"/>
      <c r="C65" s="6"/>
      <c r="D65" s="6"/>
    </row>
    <row r="66" ht="17" spans="1:4">
      <c r="A66" s="3" t="s">
        <v>1582</v>
      </c>
      <c r="B66" s="3" t="s">
        <v>1583</v>
      </c>
      <c r="C66" s="3" t="s">
        <v>1584</v>
      </c>
      <c r="D66" s="3" t="s">
        <v>1585</v>
      </c>
    </row>
    <row r="67" ht="17" spans="1:4">
      <c r="A67" s="7" t="s">
        <v>1586</v>
      </c>
      <c r="B67" s="8">
        <v>0.42</v>
      </c>
      <c r="C67" s="9">
        <v>1</v>
      </c>
      <c r="D67" s="7" t="s">
        <v>1587</v>
      </c>
    </row>
    <row r="68" ht="17" spans="1:4">
      <c r="A68" s="10" t="s">
        <v>1344</v>
      </c>
      <c r="B68" s="12">
        <v>0.12</v>
      </c>
      <c r="C68" s="10" t="s">
        <v>1534</v>
      </c>
      <c r="D68" s="10" t="s">
        <v>1588</v>
      </c>
    </row>
    <row r="69" ht="17" spans="1:4">
      <c r="A69" s="10" t="s">
        <v>1331</v>
      </c>
      <c r="B69" s="12">
        <v>0.06</v>
      </c>
      <c r="C69" s="11">
        <v>1</v>
      </c>
      <c r="D69" s="10" t="s">
        <v>1589</v>
      </c>
    </row>
    <row r="70" ht="34" spans="1:4">
      <c r="A70" s="10" t="s">
        <v>1590</v>
      </c>
      <c r="B70" s="12">
        <v>0.18</v>
      </c>
      <c r="C70" s="11">
        <v>1</v>
      </c>
      <c r="D70" s="10" t="s">
        <v>1591</v>
      </c>
    </row>
    <row r="71" ht="34" spans="1:4">
      <c r="A71" s="10" t="s">
        <v>1592</v>
      </c>
      <c r="B71" s="12">
        <v>0.18</v>
      </c>
      <c r="C71" s="11">
        <v>1</v>
      </c>
      <c r="D71" s="10" t="s">
        <v>1593</v>
      </c>
    </row>
    <row r="72" ht="34" spans="1:4">
      <c r="A72" s="10" t="s">
        <v>1594</v>
      </c>
      <c r="B72" s="12">
        <v>0.04</v>
      </c>
      <c r="C72" s="11">
        <v>1</v>
      </c>
      <c r="D72" s="10" t="s">
        <v>1595</v>
      </c>
    </row>
    <row r="75" ht="22" customHeight="1" spans="1:5">
      <c r="A75" s="5" t="s">
        <v>1580</v>
      </c>
      <c r="B75" s="5"/>
      <c r="C75" s="5"/>
      <c r="D75" s="5"/>
      <c r="E75" s="5"/>
    </row>
    <row r="76" spans="1:5">
      <c r="A76" s="6" t="s">
        <v>1596</v>
      </c>
      <c r="B76" s="6"/>
      <c r="C76" s="6"/>
      <c r="D76" s="6"/>
      <c r="E76" s="6"/>
    </row>
    <row r="77" ht="17" spans="1:5">
      <c r="A77" s="3" t="s">
        <v>1586</v>
      </c>
      <c r="B77" s="3" t="s">
        <v>1362</v>
      </c>
      <c r="C77" s="3" t="s">
        <v>739</v>
      </c>
      <c r="D77" s="3" t="s">
        <v>1367</v>
      </c>
      <c r="E77" s="3" t="s">
        <v>1369</v>
      </c>
    </row>
    <row r="78" ht="17" spans="1:5">
      <c r="A78" s="7" t="s">
        <v>1597</v>
      </c>
      <c r="B78" s="9">
        <v>120</v>
      </c>
      <c r="C78" s="9">
        <v>330</v>
      </c>
      <c r="D78" s="9">
        <v>820</v>
      </c>
      <c r="E78" s="9">
        <v>1900</v>
      </c>
    </row>
    <row r="79" ht="17" spans="1:5">
      <c r="A79" s="10" t="s">
        <v>1598</v>
      </c>
      <c r="B79" s="11">
        <v>120</v>
      </c>
      <c r="C79" s="11">
        <v>330</v>
      </c>
      <c r="D79" s="11">
        <v>850</v>
      </c>
      <c r="E79" s="11">
        <v>1950</v>
      </c>
    </row>
    <row r="80" ht="17" spans="1:5">
      <c r="A80" s="10" t="s">
        <v>1599</v>
      </c>
      <c r="B80" s="11">
        <v>60</v>
      </c>
      <c r="C80" s="11">
        <v>180</v>
      </c>
      <c r="D80" s="11">
        <v>500</v>
      </c>
      <c r="E80" s="11">
        <v>1250</v>
      </c>
    </row>
    <row r="81" ht="17" spans="1:5">
      <c r="A81" s="10" t="s">
        <v>1600</v>
      </c>
      <c r="B81" s="11">
        <v>160</v>
      </c>
      <c r="C81" s="11">
        <v>450</v>
      </c>
      <c r="D81" s="11">
        <v>1150</v>
      </c>
      <c r="E81" s="11">
        <v>2700</v>
      </c>
    </row>
    <row r="82" ht="17" spans="1:5">
      <c r="A82" s="10" t="s">
        <v>1601</v>
      </c>
      <c r="B82" s="11">
        <v>300</v>
      </c>
      <c r="C82" s="11">
        <v>820</v>
      </c>
      <c r="D82" s="11">
        <v>2100</v>
      </c>
      <c r="E82" s="11">
        <v>5000</v>
      </c>
    </row>
    <row r="85" ht="22" customHeight="1" spans="1:4">
      <c r="A85" s="5" t="s">
        <v>1602</v>
      </c>
      <c r="B85" s="5"/>
      <c r="C85" s="5"/>
      <c r="D85" s="5"/>
    </row>
    <row r="86" spans="1:4">
      <c r="A86" s="6" t="s">
        <v>1603</v>
      </c>
      <c r="B86" s="6"/>
      <c r="C86" s="6"/>
      <c r="D86" s="6"/>
    </row>
    <row r="87" ht="17" spans="1:4">
      <c r="A87" s="3" t="s">
        <v>1604</v>
      </c>
      <c r="B87" s="3" t="s">
        <v>1605</v>
      </c>
      <c r="C87" s="3" t="s">
        <v>1606</v>
      </c>
      <c r="D87" s="3" t="s">
        <v>1607</v>
      </c>
    </row>
    <row r="88" ht="17" spans="1:4">
      <c r="A88" s="7" t="s">
        <v>1608</v>
      </c>
      <c r="B88" s="7" t="s">
        <v>1609</v>
      </c>
      <c r="C88" s="9">
        <v>0</v>
      </c>
      <c r="D88" s="7" t="s">
        <v>1338</v>
      </c>
    </row>
    <row r="89" ht="17" spans="1:4">
      <c r="A89" s="10" t="s">
        <v>128</v>
      </c>
      <c r="B89" s="10" t="s">
        <v>1610</v>
      </c>
      <c r="C89" s="11">
        <v>2</v>
      </c>
      <c r="D89" s="10" t="s">
        <v>1338</v>
      </c>
    </row>
    <row r="90" ht="17" spans="1:4">
      <c r="A90" s="10" t="s">
        <v>903</v>
      </c>
      <c r="B90" s="10" t="s">
        <v>1611</v>
      </c>
      <c r="C90" s="11">
        <v>2</v>
      </c>
      <c r="D90" s="10" t="s">
        <v>1338</v>
      </c>
    </row>
    <row r="91" ht="17" spans="1:4">
      <c r="A91" s="10" t="s">
        <v>1326</v>
      </c>
      <c r="B91" s="10" t="s">
        <v>1612</v>
      </c>
      <c r="C91" s="11">
        <v>2</v>
      </c>
      <c r="D91" s="10" t="s">
        <v>1613</v>
      </c>
    </row>
    <row r="92" ht="17" spans="1:4">
      <c r="A92" s="10" t="s">
        <v>904</v>
      </c>
      <c r="B92" s="10" t="s">
        <v>1614</v>
      </c>
      <c r="C92" s="10" t="s">
        <v>1615</v>
      </c>
      <c r="D92" s="10" t="s">
        <v>1616</v>
      </c>
    </row>
    <row r="95" ht="22" customHeight="1" spans="1:6">
      <c r="A95" s="5" t="s">
        <v>1602</v>
      </c>
      <c r="B95" s="5"/>
      <c r="C95" s="5"/>
      <c r="D95" s="5"/>
      <c r="E95" s="5"/>
      <c r="F95" s="5"/>
    </row>
    <row r="96" spans="1:6">
      <c r="A96" s="6" t="s">
        <v>1617</v>
      </c>
      <c r="B96" s="6"/>
      <c r="C96" s="6"/>
      <c r="D96" s="6"/>
      <c r="E96" s="6"/>
      <c r="F96" s="6"/>
    </row>
    <row r="97" ht="17" spans="1:6">
      <c r="A97" s="3" t="s">
        <v>1618</v>
      </c>
      <c r="B97" s="3" t="s">
        <v>1619</v>
      </c>
      <c r="C97" s="3" t="s">
        <v>1620</v>
      </c>
      <c r="D97" s="3" t="s">
        <v>1621</v>
      </c>
      <c r="E97" s="3" t="s">
        <v>1622</v>
      </c>
      <c r="F97" s="3" t="s">
        <v>1623</v>
      </c>
    </row>
    <row r="98" ht="17" spans="1:6">
      <c r="A98" s="9">
        <v>1</v>
      </c>
      <c r="B98" s="7" t="s">
        <v>1624</v>
      </c>
      <c r="C98" s="7" t="s">
        <v>1625</v>
      </c>
      <c r="D98" s="7" t="s">
        <v>1626</v>
      </c>
      <c r="E98" s="7" t="s">
        <v>1627</v>
      </c>
      <c r="F98" s="7" t="s">
        <v>1628</v>
      </c>
    </row>
    <row r="99" ht="17" spans="1:6">
      <c r="A99" s="11">
        <v>2</v>
      </c>
      <c r="B99" s="10" t="s">
        <v>1629</v>
      </c>
      <c r="C99" s="10" t="s">
        <v>1630</v>
      </c>
      <c r="D99" s="10" t="s">
        <v>1631</v>
      </c>
      <c r="E99" s="10" t="s">
        <v>1632</v>
      </c>
      <c r="F99" s="10" t="s">
        <v>1633</v>
      </c>
    </row>
    <row r="100" ht="17" spans="1:6">
      <c r="A100" s="11">
        <v>3</v>
      </c>
      <c r="B100" s="10" t="s">
        <v>1634</v>
      </c>
      <c r="C100" s="10" t="s">
        <v>1635</v>
      </c>
      <c r="D100" s="10" t="s">
        <v>1636</v>
      </c>
      <c r="E100" s="10" t="s">
        <v>1637</v>
      </c>
      <c r="F100" s="10" t="s">
        <v>1638</v>
      </c>
    </row>
    <row r="101" ht="17" spans="1:6">
      <c r="A101" s="11">
        <v>4</v>
      </c>
      <c r="B101" s="10" t="s">
        <v>1639</v>
      </c>
      <c r="C101" s="10" t="s">
        <v>1640</v>
      </c>
      <c r="D101" s="10" t="s">
        <v>1641</v>
      </c>
      <c r="E101" s="10" t="s">
        <v>1642</v>
      </c>
      <c r="F101" s="10" t="s">
        <v>1643</v>
      </c>
    </row>
    <row r="102" ht="17" spans="1:6">
      <c r="A102" s="11">
        <v>5</v>
      </c>
      <c r="B102" s="10" t="s">
        <v>1644</v>
      </c>
      <c r="C102" s="10" t="s">
        <v>1645</v>
      </c>
      <c r="D102" s="10" t="s">
        <v>1646</v>
      </c>
      <c r="E102" s="10" t="s">
        <v>1647</v>
      </c>
      <c r="F102" s="10" t="s">
        <v>1648</v>
      </c>
    </row>
  </sheetData>
  <mergeCells count="18">
    <mergeCell ref="A1:I1"/>
    <mergeCell ref="A2:I2"/>
    <mergeCell ref="A4:E4"/>
    <mergeCell ref="A5:E5"/>
    <mergeCell ref="A11:F11"/>
    <mergeCell ref="A12:F12"/>
    <mergeCell ref="A20:F20"/>
    <mergeCell ref="A21:F21"/>
    <mergeCell ref="A55:C55"/>
    <mergeCell ref="A56:C56"/>
    <mergeCell ref="A64:D64"/>
    <mergeCell ref="A65:D65"/>
    <mergeCell ref="A75:E75"/>
    <mergeCell ref="A76:E76"/>
    <mergeCell ref="A85:D85"/>
    <mergeCell ref="A86:D86"/>
    <mergeCell ref="A95:F95"/>
    <mergeCell ref="A96:F96"/>
  </mergeCells>
  <pageMargins left="0.7" right="0.7" top="0.75" bottom="0.75" header="0.3" footer="0.3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0"/>
  <sheetViews>
    <sheetView showGridLines="0" workbookViewId="0">
      <selection activeCell="A1" sqref="A1:M1"/>
    </sheetView>
  </sheetViews>
  <sheetFormatPr defaultColWidth="9" defaultRowHeight="16.8"/>
  <cols>
    <col min="1" max="1" width="20" customWidth="1"/>
    <col min="2" max="2" width="16" customWidth="1"/>
    <col min="3" max="3" width="40" customWidth="1"/>
    <col min="4" max="4" width="16" customWidth="1"/>
    <col min="5" max="6" width="14" customWidth="1"/>
    <col min="7" max="7" width="16" customWidth="1"/>
    <col min="8" max="8" width="18" customWidth="1"/>
    <col min="9" max="9" width="16" customWidth="1"/>
    <col min="10" max="10" width="58" customWidth="1"/>
    <col min="11" max="11" width="14" customWidth="1"/>
    <col min="12" max="12" width="42" customWidth="1"/>
    <col min="13" max="13" width="16" customWidth="1"/>
  </cols>
  <sheetData>
    <row r="1" ht="30" customHeight="1" spans="1:13">
      <c r="A1" s="1" t="s">
        <v>1649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0" customHeight="1" spans="1:13">
      <c r="A2" s="2" t="s">
        <v>1650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ht="17" spans="1:13">
      <c r="A4" s="3" t="s">
        <v>1651</v>
      </c>
      <c r="B4" s="3" t="s">
        <v>1652</v>
      </c>
      <c r="C4" s="3" t="s">
        <v>1653</v>
      </c>
      <c r="D4" s="3" t="s">
        <v>1654</v>
      </c>
      <c r="E4" s="3" t="s">
        <v>1655</v>
      </c>
      <c r="F4" s="3" t="s">
        <v>1656</v>
      </c>
      <c r="G4" s="3" t="s">
        <v>1657</v>
      </c>
      <c r="H4" s="3" t="s">
        <v>1658</v>
      </c>
      <c r="I4" s="3" t="s">
        <v>1659</v>
      </c>
      <c r="J4" s="3" t="s">
        <v>1660</v>
      </c>
      <c r="K4" s="3" t="s">
        <v>1661</v>
      </c>
      <c r="L4" s="3" t="s">
        <v>79</v>
      </c>
      <c r="M4" s="3" t="s">
        <v>1662</v>
      </c>
    </row>
    <row r="5" spans="1:13">
      <c r="A5" t="s">
        <v>1663</v>
      </c>
      <c r="B5" t="s">
        <v>1664</v>
      </c>
      <c r="C5" t="s">
        <v>1665</v>
      </c>
      <c r="D5" s="4">
        <v>1100</v>
      </c>
      <c r="E5" s="4">
        <v>7</v>
      </c>
      <c r="F5" s="4" t="s">
        <v>121</v>
      </c>
      <c r="G5" s="4">
        <v>650</v>
      </c>
      <c r="H5" s="13">
        <f t="shared" ref="H5:H10" si="0">G5/E5</f>
        <v>92.8571428571429</v>
      </c>
      <c r="I5" s="13">
        <f t="shared" ref="I5:I10" si="1">ABS(H5-M5)</f>
        <v>0.0428571428571445</v>
      </c>
      <c r="J5" t="s">
        <v>1666</v>
      </c>
      <c r="K5" s="14">
        <v>0.06</v>
      </c>
      <c r="L5" t="s">
        <v>1667</v>
      </c>
      <c r="M5" s="15">
        <v>92.9</v>
      </c>
    </row>
    <row r="6" spans="1:13">
      <c r="A6" t="s">
        <v>1663</v>
      </c>
      <c r="B6" t="s">
        <v>1668</v>
      </c>
      <c r="C6" t="s">
        <v>1669</v>
      </c>
      <c r="D6" s="4">
        <v>1400</v>
      </c>
      <c r="E6" s="4">
        <v>7.5</v>
      </c>
      <c r="F6" s="4" t="s">
        <v>121</v>
      </c>
      <c r="G6" s="4">
        <v>950</v>
      </c>
      <c r="H6" s="13">
        <f t="shared" si="0"/>
        <v>126.666666666667</v>
      </c>
      <c r="I6" s="13">
        <f t="shared" si="1"/>
        <v>0.0333333333333314</v>
      </c>
      <c r="J6" t="s">
        <v>1670</v>
      </c>
      <c r="K6" s="14">
        <v>0.09</v>
      </c>
      <c r="L6" t="s">
        <v>1667</v>
      </c>
      <c r="M6" s="15">
        <v>126.7</v>
      </c>
    </row>
    <row r="7" spans="1:13">
      <c r="A7" t="s">
        <v>1663</v>
      </c>
      <c r="B7" t="s">
        <v>1671</v>
      </c>
      <c r="C7" t="s">
        <v>1672</v>
      </c>
      <c r="D7" s="4">
        <v>1650</v>
      </c>
      <c r="E7" s="4">
        <v>8</v>
      </c>
      <c r="F7" s="4" t="s">
        <v>121</v>
      </c>
      <c r="G7" s="4">
        <v>1400</v>
      </c>
      <c r="H7" s="13">
        <f t="shared" si="0"/>
        <v>175</v>
      </c>
      <c r="I7" s="13">
        <f t="shared" si="1"/>
        <v>0</v>
      </c>
      <c r="J7" t="s">
        <v>1673</v>
      </c>
      <c r="K7" s="14">
        <v>0.12</v>
      </c>
      <c r="L7" t="s">
        <v>1667</v>
      </c>
      <c r="M7" s="15">
        <v>175</v>
      </c>
    </row>
    <row r="8" spans="1:13">
      <c r="A8" t="s">
        <v>1674</v>
      </c>
      <c r="B8" t="s">
        <v>1675</v>
      </c>
      <c r="C8" t="s">
        <v>1676</v>
      </c>
      <c r="D8" s="4">
        <v>1300</v>
      </c>
      <c r="E8" s="4">
        <v>7</v>
      </c>
      <c r="F8" s="4" t="s">
        <v>118</v>
      </c>
      <c r="G8" s="4">
        <v>900</v>
      </c>
      <c r="H8" s="13">
        <f t="shared" si="0"/>
        <v>128.571428571429</v>
      </c>
      <c r="I8" s="13">
        <f t="shared" si="1"/>
        <v>0.0285714285714107</v>
      </c>
      <c r="J8" t="s">
        <v>1677</v>
      </c>
      <c r="K8" s="14">
        <v>0.06</v>
      </c>
      <c r="L8" t="s">
        <v>1667</v>
      </c>
      <c r="M8" s="15">
        <v>128.6</v>
      </c>
    </row>
    <row r="9" spans="1:13">
      <c r="A9" t="s">
        <v>1674</v>
      </c>
      <c r="B9" t="s">
        <v>1678</v>
      </c>
      <c r="C9" t="s">
        <v>1679</v>
      </c>
      <c r="D9" s="4">
        <v>1550</v>
      </c>
      <c r="E9" s="4">
        <v>7.5</v>
      </c>
      <c r="F9" s="4" t="s">
        <v>118</v>
      </c>
      <c r="G9" s="4">
        <v>1400</v>
      </c>
      <c r="H9" s="13">
        <f t="shared" si="0"/>
        <v>186.666666666667</v>
      </c>
      <c r="I9" s="13">
        <f t="shared" si="1"/>
        <v>0.0333333333333314</v>
      </c>
      <c r="J9" t="s">
        <v>1680</v>
      </c>
      <c r="K9" s="14">
        <v>0.09</v>
      </c>
      <c r="L9" t="s">
        <v>1667</v>
      </c>
      <c r="M9" s="15">
        <v>186.7</v>
      </c>
    </row>
    <row r="10" spans="1:13">
      <c r="A10" t="s">
        <v>1674</v>
      </c>
      <c r="B10" t="s">
        <v>1681</v>
      </c>
      <c r="C10" t="s">
        <v>1672</v>
      </c>
      <c r="D10" s="4">
        <v>1750</v>
      </c>
      <c r="E10" s="4">
        <v>8</v>
      </c>
      <c r="F10" s="4" t="s">
        <v>118</v>
      </c>
      <c r="G10" s="4">
        <v>2100</v>
      </c>
      <c r="H10" s="13">
        <f t="shared" si="0"/>
        <v>262.5</v>
      </c>
      <c r="I10" s="13">
        <f t="shared" si="1"/>
        <v>0</v>
      </c>
      <c r="J10" t="s">
        <v>1682</v>
      </c>
      <c r="K10" s="14">
        <v>0.12</v>
      </c>
      <c r="L10" t="s">
        <v>1667</v>
      </c>
      <c r="M10" s="15">
        <v>262.5</v>
      </c>
    </row>
    <row r="13" ht="22" customHeight="1" spans="1:5">
      <c r="A13" s="5" t="s">
        <v>1683</v>
      </c>
      <c r="B13" s="5"/>
      <c r="C13" s="5"/>
      <c r="D13" s="5"/>
      <c r="E13" s="5"/>
    </row>
    <row r="14" spans="1:5">
      <c r="A14" s="6" t="s">
        <v>1684</v>
      </c>
      <c r="B14" s="6"/>
      <c r="C14" s="6"/>
      <c r="D14" s="6"/>
      <c r="E14" s="6"/>
    </row>
    <row r="15" ht="17" spans="1:5">
      <c r="A15" s="3" t="s">
        <v>1652</v>
      </c>
      <c r="B15" s="3" t="s">
        <v>737</v>
      </c>
      <c r="C15" s="3" t="s">
        <v>738</v>
      </c>
      <c r="D15" s="3" t="s">
        <v>739</v>
      </c>
      <c r="E15" s="3" t="s">
        <v>1685</v>
      </c>
    </row>
    <row r="16" ht="17" spans="1:5">
      <c r="A16" s="7" t="s">
        <v>1686</v>
      </c>
      <c r="B16" s="8">
        <v>0.7</v>
      </c>
      <c r="C16" s="8">
        <v>0.3</v>
      </c>
      <c r="D16" s="9">
        <v>0</v>
      </c>
      <c r="E16" s="7" t="s">
        <v>1687</v>
      </c>
    </row>
    <row r="17" ht="34" spans="1:5">
      <c r="A17" s="10" t="s">
        <v>1688</v>
      </c>
      <c r="B17" s="11">
        <v>0</v>
      </c>
      <c r="C17" s="12">
        <v>0.7</v>
      </c>
      <c r="D17" s="12">
        <v>0.3</v>
      </c>
      <c r="E17" s="10" t="s">
        <v>1689</v>
      </c>
    </row>
    <row r="18" ht="34" spans="1:5">
      <c r="A18" s="10" t="s">
        <v>1690</v>
      </c>
      <c r="B18" s="11">
        <v>0</v>
      </c>
      <c r="C18" s="12">
        <v>0.3</v>
      </c>
      <c r="D18" s="12">
        <v>0.7</v>
      </c>
      <c r="E18" s="10" t="s">
        <v>1691</v>
      </c>
    </row>
    <row r="21" ht="22" customHeight="1" spans="1:2">
      <c r="A21" s="5" t="s">
        <v>1683</v>
      </c>
      <c r="B21" s="5"/>
    </row>
    <row r="22" spans="1:2">
      <c r="A22" s="6" t="s">
        <v>1692</v>
      </c>
      <c r="B22" s="6"/>
    </row>
    <row r="23" ht="17" spans="1:2">
      <c r="A23" s="3" t="s">
        <v>1652</v>
      </c>
      <c r="B23" s="3" t="s">
        <v>1693</v>
      </c>
    </row>
    <row r="24" ht="51" spans="1:2">
      <c r="A24" s="7" t="s">
        <v>1664</v>
      </c>
      <c r="B24" s="7" t="s">
        <v>1694</v>
      </c>
    </row>
    <row r="25" ht="51" spans="1:2">
      <c r="A25" s="10" t="s">
        <v>1668</v>
      </c>
      <c r="B25" s="10" t="s">
        <v>1695</v>
      </c>
    </row>
    <row r="26" ht="34" spans="1:2">
      <c r="A26" s="10" t="s">
        <v>1671</v>
      </c>
      <c r="B26" s="10" t="s">
        <v>1696</v>
      </c>
    </row>
    <row r="27" ht="51" spans="1:2">
      <c r="A27" s="10" t="s">
        <v>1675</v>
      </c>
      <c r="B27" s="10" t="s">
        <v>1697</v>
      </c>
    </row>
    <row r="28" ht="51" spans="1:2">
      <c r="A28" s="10" t="s">
        <v>1678</v>
      </c>
      <c r="B28" s="10" t="s">
        <v>1698</v>
      </c>
    </row>
    <row r="29" ht="34" spans="1:2">
      <c r="A29" s="10" t="s">
        <v>1681</v>
      </c>
      <c r="B29" s="10" t="s">
        <v>1699</v>
      </c>
    </row>
    <row r="32" ht="22" customHeight="1" spans="1:4">
      <c r="A32" s="5" t="s">
        <v>1700</v>
      </c>
      <c r="B32" s="5"/>
      <c r="C32" s="5"/>
      <c r="D32" s="5"/>
    </row>
    <row r="33" spans="1:4">
      <c r="A33" s="6" t="s">
        <v>1701</v>
      </c>
      <c r="B33" s="6"/>
      <c r="C33" s="6"/>
      <c r="D33" s="6"/>
    </row>
    <row r="34" ht="17" spans="1:4">
      <c r="A34" s="3" t="s">
        <v>1652</v>
      </c>
      <c r="B34" s="3" t="s">
        <v>1702</v>
      </c>
      <c r="C34" s="3" t="s">
        <v>1703</v>
      </c>
      <c r="D34" s="3" t="s">
        <v>1704</v>
      </c>
    </row>
    <row r="35" ht="68" spans="1:4">
      <c r="A35" s="7" t="s">
        <v>1664</v>
      </c>
      <c r="B35" s="7" t="s">
        <v>1705</v>
      </c>
      <c r="C35" s="7" t="s">
        <v>1706</v>
      </c>
      <c r="D35" s="7" t="s">
        <v>1707</v>
      </c>
    </row>
    <row r="36" ht="68" spans="1:4">
      <c r="A36" s="10" t="s">
        <v>1668</v>
      </c>
      <c r="B36" s="10" t="s">
        <v>1708</v>
      </c>
      <c r="C36" s="10" t="s">
        <v>1709</v>
      </c>
      <c r="D36" s="10" t="s">
        <v>1710</v>
      </c>
    </row>
    <row r="37" ht="84" spans="1:4">
      <c r="A37" s="10" t="s">
        <v>1671</v>
      </c>
      <c r="B37" s="10" t="s">
        <v>1711</v>
      </c>
      <c r="C37" s="10" t="s">
        <v>1712</v>
      </c>
      <c r="D37" s="10" t="s">
        <v>1713</v>
      </c>
    </row>
    <row r="38" ht="68" spans="1:4">
      <c r="A38" s="10" t="s">
        <v>1675</v>
      </c>
      <c r="B38" s="10" t="s">
        <v>1714</v>
      </c>
      <c r="C38" s="10" t="s">
        <v>1715</v>
      </c>
      <c r="D38" s="10" t="s">
        <v>1716</v>
      </c>
    </row>
    <row r="39" ht="68" spans="1:4">
      <c r="A39" s="10" t="s">
        <v>1678</v>
      </c>
      <c r="B39" s="10" t="s">
        <v>1717</v>
      </c>
      <c r="C39" s="10" t="s">
        <v>1718</v>
      </c>
      <c r="D39" s="10" t="s">
        <v>1719</v>
      </c>
    </row>
    <row r="40" ht="84" spans="1:4">
      <c r="A40" s="10" t="s">
        <v>1681</v>
      </c>
      <c r="B40" s="10" t="s">
        <v>1720</v>
      </c>
      <c r="C40" s="10" t="s">
        <v>1721</v>
      </c>
      <c r="D40" s="10" t="s">
        <v>1722</v>
      </c>
    </row>
  </sheetData>
  <mergeCells count="8">
    <mergeCell ref="A1:M1"/>
    <mergeCell ref="A2:M2"/>
    <mergeCell ref="A13:E13"/>
    <mergeCell ref="A14:E14"/>
    <mergeCell ref="A21:B21"/>
    <mergeCell ref="A22:B22"/>
    <mergeCell ref="A32:D32"/>
    <mergeCell ref="A33:D33"/>
  </mergeCells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00_说明</vt:lpstr>
      <vt:lpstr>01_关键参数</vt:lpstr>
      <vt:lpstr>02_等级成长</vt:lpstr>
      <vt:lpstr>03_七维成长</vt:lpstr>
      <vt:lpstr>04_战斗经济</vt:lpstr>
      <vt:lpstr>05_职业技能</vt:lpstr>
      <vt:lpstr>06_装备基础</vt:lpstr>
      <vt:lpstr>07_特定装备</vt:lpstr>
      <vt:lpstr>08_敌人</vt:lpstr>
      <vt:lpstr>09_Boss</vt:lpstr>
      <vt:lpstr>10_炼器</vt:lpstr>
      <vt:lpstr>11_材料</vt:lpstr>
      <vt:lpstr>12_后勤</vt:lpstr>
      <vt:lpstr>13_资源副本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肖恩</cp:lastModifiedBy>
  <dcterms:created xsi:type="dcterms:W3CDTF">2026-08-06T15:06:06Z</dcterms:created>
  <dcterms:modified xsi:type="dcterms:W3CDTF">2026-08-06T15:06:17Z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61D18E5A475134396932746A40CA9B5A_42</vt:lpwstr>
  </property>
  <property fmtid="{D5CDD505-2E9C-101B-9397-08002B2CF9AE}" pid="3" name="KSOProductBuildVer">
    <vt:lpwstr>2052-7.4.1.8983</vt:lpwstr>
  </property>
</Properties>
</file>