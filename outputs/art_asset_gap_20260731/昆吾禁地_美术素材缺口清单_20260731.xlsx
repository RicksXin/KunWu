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7055"/>
  </bookViews>
  <sheets>
    <sheet name="汇总" sheetId="1" r:id="rId1"/>
    <sheet name="缺口明细" sheetId="2" r:id="rId2"/>
    <sheet name="已有与参考" sheetId="3" r:id="rId3"/>
    <sheet name="规格与验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tc={19E7FB26-AD3C-57CA-3E70-87F39B982A48}</author>
  </authors>
  <commentList>
    <comment ref="E4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“正式缺口制作单元”把套、张、个、角色等不同单位相加，仅用于粗排制作规模，不能直接作为外包报价总数。</t>
        </r>
      </text>
    </comment>
  </commentList>
</comments>
</file>

<file path=xl/comments2.xml><?xml version="1.0" encoding="utf-8"?>
<comments xmlns="http://schemas.openxmlformats.org/spreadsheetml/2006/main">
  <authors>
    <author>tc={1F581FFA-AB08-096C-F6DE-BD5B95CBB522}</author>
  </authors>
  <commentList>
    <comment ref="B9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文档中列出的免费素材包多数并未出现在本地工程。只有实际下载、保留许可快照并登记来源后，才能视为已收集。</t>
        </r>
      </text>
    </comment>
  </commentList>
</comments>
</file>

<file path=xl/sharedStrings.xml><?xml version="1.0" encoding="utf-8"?>
<sst xmlns="http://schemas.openxmlformats.org/spreadsheetml/2006/main" count="1496" uniqueCount="889">
  <si>
    <t>《昆吾禁地》美术素材缺口总览</t>
  </si>
  <si>
    <t>基于项目资产目录、开发进度与PRD交叉盘点｜2026-07-31</t>
  </si>
  <si>
    <t>缺口素材包</t>
  </si>
  <si>
    <t>P0立即处理</t>
  </si>
  <si>
    <t>正式缺口制作单元</t>
  </si>
  <si>
    <t>正式覆盖率</t>
  </si>
  <si>
    <t>大类</t>
  </si>
  <si>
    <t>目标阶段</t>
  </si>
  <si>
    <t>场景</t>
  </si>
  <si>
    <t>P1核心闭环</t>
  </si>
  <si>
    <t>建筑</t>
  </si>
  <si>
    <t>P2公开Demo</t>
  </si>
  <si>
    <t>角色</t>
  </si>
  <si>
    <t>P3A地图2</t>
  </si>
  <si>
    <t>动画</t>
  </si>
  <si>
    <t>P3B五图MVP</t>
  </si>
  <si>
    <t>敌人</t>
  </si>
  <si>
    <t>P3C五图MVP</t>
  </si>
  <si>
    <t>Boss</t>
  </si>
  <si>
    <t>地图</t>
  </si>
  <si>
    <t>UI</t>
  </si>
  <si>
    <t>当前结论</t>
  </si>
  <si>
    <t>图标</t>
  </si>
  <si>
    <t>1. 当前正式视觉资产几乎为空，只有Ark Pixel字体可直接沿用。
2. Camp大厅功能已验收，但画面仍是灰盒；建筑、前中后景、图标和NPC形象均待补。
3. 下一开发闭环最先需要：原创UI基础组件、资源/属性图标、四名新手头像、地图1 Tile/POI、敌人和战斗VFX。
4. 文档提及的多个免费素材包本地并不存在，不能当作已收集或已授权。
5. “正式缺口制作单元”混合了套/张/个/角色等单位，只用于工作量粗排，不能直接作为报价总量。</t>
  </si>
  <si>
    <t>特效</t>
  </si>
  <si>
    <t>品牌</t>
  </si>
  <si>
    <t>字体</t>
  </si>
  <si>
    <t>剧情</t>
  </si>
  <si>
    <t>推荐执行顺序：P0立即（核心页面与地图1）→ P1高（大厅正式化与公开Demo润色）→ P2/P3（地图2–5、完整一转与装备扩充）。</t>
  </si>
  <si>
    <t>《昆吾禁地》美术素材缺口明细</t>
  </si>
  <si>
    <t>盘点日期：2026-07-31｜范围：视觉美术、动画、VFX、UI；不含音频。正式已有只统计可直接进入发行包的资产，灰盒和参考图单列。</t>
  </si>
  <si>
    <t>使用方法：先筛选“优先级=P0-立即”，即可得到当前核心闭环与公开Demo最先要补的素材；K列为公式计算的正式缺口。</t>
  </si>
  <si>
    <t>编号</t>
  </si>
  <si>
    <t>优先级</t>
  </si>
  <si>
    <t>页面/场景</t>
  </si>
  <si>
    <t>素材包</t>
  </si>
  <si>
    <t>目标数量</t>
  </si>
  <si>
    <t>单位</t>
  </si>
  <si>
    <t>正式已有</t>
  </si>
  <si>
    <t>临时/参考</t>
  </si>
  <si>
    <t>正式缺口</t>
  </si>
  <si>
    <t>当前状态</t>
  </si>
  <si>
    <t>阻塞可演示</t>
  </si>
  <si>
    <t>规格建议</t>
  </si>
  <si>
    <t>Demo临时方案</t>
  </si>
  <si>
    <t>验收重点</t>
  </si>
  <si>
    <t>IP/许可要求</t>
  </si>
  <si>
    <t>需求依据</t>
  </si>
  <si>
    <t>ART-HALL-001</t>
  </si>
  <si>
    <t>P0-立即</t>
  </si>
  <si>
    <t>营地大厅</t>
  </si>
  <si>
    <t>营地后景横向长卷（封印山体、瀑布、云层、远处法光）</t>
  </si>
  <si>
    <t>套</t>
  </si>
  <si>
    <t>部分</t>
  </si>
  <si>
    <t>按375:817视窗展示；独立于建筑层；建议覆盖2.8倍设计宽并留横滑余量</t>
  </si>
  <si>
    <t>继续使用3张大厅参考图和纯色灰盒，仅作构图参考</t>
  </si>
  <si>
    <t>左右边界不露空白；中部默认视口能读出山门与主殿层级</t>
  </si>
  <si>
    <t>必须原创，不临摹原作场景构图</t>
  </si>
  <si>
    <t>Docs/02 §6.1；PRD-01</t>
  </si>
  <si>
    <t>ART-HALL-002</t>
  </si>
  <si>
    <t>营地中景地面与道路模块（台基、道路、坡地、溪流）</t>
  </si>
  <si>
    <t>像素模块化；与七建筑热区分离；Point过滤</t>
  </si>
  <si>
    <t>使用Camp.scene彩色矩形灰盒</t>
  </si>
  <si>
    <t>道路可读、建筑落点统一、横滑时无拼接断层</t>
  </si>
  <si>
    <t>原创修仙营地语汇</t>
  </si>
  <si>
    <t>Docs/02 §6.1；Docs/08 §1.2</t>
  </si>
  <si>
    <t>ART-HALL-003</t>
  </si>
  <si>
    <t>P1-高</t>
  </si>
  <si>
    <t>营地前景遮挡层（旗杆、药篓、木箱、近景草木）</t>
  </si>
  <si>
    <t>否</t>
  </si>
  <si>
    <t>透明PNG/图集；不能遮住建筑标签与入口</t>
  </si>
  <si>
    <t>先不放前景或使用简单色块</t>
  </si>
  <si>
    <t>横滑视差自然；关键按钮无遮挡</t>
  </si>
  <si>
    <t>原创</t>
  </si>
  <si>
    <t>Docs/02 §6.1</t>
  </si>
  <si>
    <t>ART-HALL-004</t>
  </si>
  <si>
    <t>七座成长建筑锁定/未解锁外观</t>
  </si>
  <si>
    <t>座</t>
  </si>
  <si>
    <t>招贤馆、百宝库、还魂殿、灵圃、炼器坊、交易行、议事殿；独立Sprite</t>
  </si>
  <si>
    <t>继续使用320×240建筑灰盒和文字标签</t>
  </si>
  <si>
    <t>25%缩放仍可按轮廓识别；锁定态不只靠灰度</t>
  </si>
  <si>
    <t>原创建筑，不复刻原作建筑</t>
  </si>
  <si>
    <t>Docs/02 §6.1、§12；PRD-11 §8</t>
  </si>
  <si>
    <t>ART-HALL-005</t>
  </si>
  <si>
    <t>七座成长建筑已解锁外观</t>
  </si>
  <si>
    <t>与锁定态同锚点、同占地；可叠加灯火和状态标记</t>
  </si>
  <si>
    <t>继续使用建筑灰盒</t>
  </si>
  <si>
    <t>视觉锚点分别体现悬榜、铜锁、魂灯、梯田、炉火、价牌、主旗</t>
  </si>
  <si>
    <t>Docs/02 §6.1、§12</t>
  </si>
  <si>
    <t>ART-HALL-006</t>
  </si>
  <si>
    <t>传送阵/出征入口</t>
  </si>
  <si>
    <t>是</t>
  </si>
  <si>
    <t>建议360×190逻辑框；阵纹、台基、激活/禁用两态</t>
  </si>
  <si>
    <t>使用传送阵文字灰盒</t>
  </si>
  <si>
    <t>默认中部完整可见；禁用时仍说明原因</t>
  </si>
  <si>
    <t>原创阵纹</t>
  </si>
  <si>
    <t>Docs/02 §6.1；Docs/08 §1.2.5</t>
  </si>
  <si>
    <t>ART-HALL-007</t>
  </si>
  <si>
    <t>四个未开放场景锚点（竞技场、遗迹、圣迹、教会）</t>
  </si>
  <si>
    <t>处</t>
  </si>
  <si>
    <t>背景建筑剪影；明确封锁且不伪装成按钮</t>
  </si>
  <si>
    <t>保留场景文字锚点</t>
  </si>
  <si>
    <t>玩家能识别竞技场但不会误认为已开放</t>
  </si>
  <si>
    <t>ART-HALL-008</t>
  </si>
  <si>
    <t>营地环境摆件包（旗、箱、药篓、灯、货架、驮兽）</t>
  </si>
  <si>
    <t>16×16基础像素网格，按32/48像素模块组合</t>
  </si>
  <si>
    <t>复用纯色块，不影响逻辑</t>
  </si>
  <si>
    <t>不抢建筑轮廓；同屏主色不超过三组</t>
  </si>
  <si>
    <t>ART-HALL-009</t>
  </si>
  <si>
    <t>走动杂役/NPC小人变体</t>
  </si>
  <si>
    <t>名</t>
  </si>
  <si>
    <t>32×32或48×48；Idle/Walk；2.5头身</t>
  </si>
  <si>
    <t>暂不显示走动角色</t>
  </si>
  <si>
    <t>不遮入口；循环无滑步；外观与原作角色无相似组合</t>
  </si>
  <si>
    <t>原创人物</t>
  </si>
  <si>
    <t>Docs/04 §11</t>
  </si>
  <si>
    <t>ART-HALL-010</t>
  </si>
  <si>
    <t>营地NPC</t>
  </si>
  <si>
    <t>岑守一列表头像</t>
  </si>
  <si>
    <t>个</t>
  </si>
  <si>
    <t>建议64×64或96×96；清晰职业/身份轮廓</t>
  </si>
  <si>
    <t>使用文字列表和通用头像灰盒</t>
  </si>
  <si>
    <t>列表和对话中身份一致，缩小后可读</t>
  </si>
  <si>
    <t>原创NPC造型与姓名</t>
  </si>
  <si>
    <t>Docs/08 §1.2.5；PRD-08</t>
  </si>
  <si>
    <t>ART-HALL-011</t>
  </si>
  <si>
    <t>岑守一半身立绘/表情</t>
  </si>
  <si>
    <t>张</t>
  </si>
  <si>
    <t>正常、严肃、释然三态；像素半身或高像素立绘</t>
  </si>
  <si>
    <t>对话继续使用文字与纯色面板</t>
  </si>
  <si>
    <t>不依赖长动画表达情绪；不与原作角色相似</t>
  </si>
  <si>
    <t>原创NPC造型</t>
  </si>
  <si>
    <t>Docs/04 §12</t>
  </si>
  <si>
    <t>ART-HALL-012</t>
  </si>
  <si>
    <t>营地环境循环动画包（炊烟、灯火、旗帜、云、水）</t>
  </si>
  <si>
    <t>局部循环帧+Tween；同屏环境动画≤25</t>
  </si>
  <si>
    <t>Demo先仅做Tween或静态</t>
  </si>
  <si>
    <t>循环无跳帧；低端Web设备可关闭</t>
  </si>
  <si>
    <t>原创/可登记CC0来源</t>
  </si>
  <si>
    <t>Docs/03 §5；Docs/04 §11</t>
  </si>
  <si>
    <t>ART-UI-001</t>
  </si>
  <si>
    <t>全局</t>
  </si>
  <si>
    <t>原创UI基础组件包（面板、按钮、页签、列表、进度条、弹窗、输入态）</t>
  </si>
  <si>
    <t>墨色木/石底板、青铜与玉边框、朱砂选中；九宫格</t>
  </si>
  <si>
    <t>使用Kenney Pixel UI 6张PNG和Cocos纯色节点</t>
  </si>
  <si>
    <t>48×48dp触控；正常/悬停/按下/禁用可辨</t>
  </si>
  <si>
    <t>Kenney仅可作Demo，占位与原创分目录</t>
  </si>
  <si>
    <t>Docs/02 §7；PRD-11 §8</t>
  </si>
  <si>
    <t>ART-UI-002</t>
  </si>
  <si>
    <t>全局资源</t>
  </si>
  <si>
    <t>七种资源图标（灵粮、灵木、玄铁、灵晶、庚精、灵石、魂晶）</t>
  </si>
  <si>
    <t>源尺寸24×24/32×32；高对比像素轮廓</t>
  </si>
  <si>
    <t>文字缩写或通用几何占位</t>
  </si>
  <si>
    <t>24×24仍能分辨；灵晶与灵石不能混淆</t>
  </si>
  <si>
    <t>原创符号；不得沿用原作法宝轮廓</t>
  </si>
  <si>
    <t>Docs/02 §8、§12；PRD-11 §8</t>
  </si>
  <si>
    <t>ART-UI-003</t>
  </si>
  <si>
    <t>修士详情/检定</t>
  </si>
  <si>
    <t>七维属性图标（力道、法力、神识、遁速、肉身、护体、定力）</t>
  </si>
  <si>
    <t>24×24/32×32；图形+文字双重表达</t>
  </si>
  <si>
    <t>使用属性首字和色块</t>
  </si>
  <si>
    <t>属性检定与战斗详情中含义一致</t>
  </si>
  <si>
    <t>Docs/PRD/03 §8；PRD-11 §8</t>
  </si>
  <si>
    <t>ART-UI-004</t>
  </si>
  <si>
    <t>修士卡牌</t>
  </si>
  <si>
    <t>七品级边框（D/C/B/A/S/SS/SSS）</t>
  </si>
  <si>
    <t>字母、轮廓和颜色同时变化</t>
  </si>
  <si>
    <t>使用文字等级+单色描边</t>
  </si>
  <si>
    <t>色弱模式下仍可辨认</t>
  </si>
  <si>
    <t>PRD-11 §8；PRD-09 §5</t>
  </si>
  <si>
    <t>ART-UI-005</t>
  </si>
  <si>
    <t>物品/装备</t>
  </si>
  <si>
    <t>五装备品质边框</t>
  </si>
  <si>
    <t>颜色、角纹与品质文字同时变化</t>
  </si>
  <si>
    <t>使用文字和普通边框</t>
  </si>
  <si>
    <t>缩略图中不只靠颜色区分</t>
  </si>
  <si>
    <t>PRD-11 §8</t>
  </si>
  <si>
    <t>ART-UI-006</t>
  </si>
  <si>
    <t>大厅底部HUD</t>
  </si>
  <si>
    <t>设置、成就、排行榜、邮件、日常进度图标</t>
  </si>
  <si>
    <t>建议24×24或32×32；未开放态统一覆盖</t>
  </si>
  <si>
    <t>继续使用文字按钮/灰盒</t>
  </si>
  <si>
    <t>设置可点击；其余四项明确未开放且无红点</t>
  </si>
  <si>
    <t>原创或CC0占位需登记</t>
  </si>
  <si>
    <t>Docs/02 §7.3；Docs/08 §1.2.6</t>
  </si>
  <si>
    <t>ART-UI-007</t>
  </si>
  <si>
    <t>全局操作</t>
  </si>
  <si>
    <t>通用操作图标包（返回、关闭、确认、取消、信息、锁、刷新、加减等）</t>
  </si>
  <si>
    <t>16×16、24×24、32×32三档；统一笔触</t>
  </si>
  <si>
    <t>文字按钮临时代替</t>
  </si>
  <si>
    <t>鼠标与触控含义一致；禁用态清楚</t>
  </si>
  <si>
    <t>原创或许可明确的CC0</t>
  </si>
  <si>
    <t>PRD-09 §4</t>
  </si>
  <si>
    <t>ART-UI-008</t>
  </si>
  <si>
    <t>战斗/职业</t>
  </si>
  <si>
    <t>Demo技能图标</t>
  </si>
  <si>
    <t>24×24/32×32；按剑气、灵火、雷法、阵法、治疗、魔气分类</t>
  </si>
  <si>
    <t>用技能首字/几何符纹占位</t>
  </si>
  <si>
    <t>三个技能起手与图标都能区分</t>
  </si>
  <si>
    <t>Demo可用登记CC0；MVP必须原创</t>
  </si>
  <si>
    <t>Docs/02 §8、§12</t>
  </si>
  <si>
    <t>ART-UI-009</t>
  </si>
  <si>
    <t>仓库/装备</t>
  </si>
  <si>
    <t>Demo装备图标</t>
  </si>
  <si>
    <t>24×24/32×32；武器、防具、饰品分类轮廓</t>
  </si>
  <si>
    <t>使用纯色方块+物品名</t>
  </si>
  <si>
    <t>同类装备在24×24下可区分</t>
  </si>
  <si>
    <t>原创或登记CC0占位</t>
  </si>
  <si>
    <t>Docs/02 §12；PRD-07</t>
  </si>
  <si>
    <t>ART-UI-010</t>
  </si>
  <si>
    <t>仓库/掉落</t>
  </si>
  <si>
    <t>材料与任务物图标包</t>
  </si>
  <si>
    <t>矿石、木材、符片、魂火、Boss任务物</t>
  </si>
  <si>
    <t>复用资源图标并加文字</t>
  </si>
  <si>
    <t>任务物与普通材料有独立角标</t>
  </si>
  <si>
    <t>PRD-07；PRD-08</t>
  </si>
  <si>
    <t>ART-UI-011</t>
  </si>
  <si>
    <t>任务/地图</t>
  </si>
  <si>
    <t>任务与POI图标包（阵眼、洞府、资源、营地、残碑、传送、出口等）</t>
  </si>
  <si>
    <t>地图上建议24×24；已完成/未完成双态</t>
  </si>
  <si>
    <t>使用文字缩写和简单几何</t>
  </si>
  <si>
    <t>复杂地图中3秒内可发现交互点</t>
  </si>
  <si>
    <t>Docs/05 §8；PRD-09 §6</t>
  </si>
  <si>
    <t>ART-UI-012</t>
  </si>
  <si>
    <t>地图Boss</t>
  </si>
  <si>
    <t>主线、支线、野外Boss三类地图标记</t>
  </si>
  <si>
    <t>实心朱印、空心蓝印、带角金印</t>
  </si>
  <si>
    <t>用文字“主/支/野”占位</t>
  </si>
  <si>
    <t>不依赖颜色也能一眼区分</t>
  </si>
  <si>
    <t>Docs/03 §6.1；PRD-11 §8</t>
  </si>
  <si>
    <t>ART-UI-013</t>
  </si>
  <si>
    <t>营地建筑</t>
  </si>
  <si>
    <t>建筑状态图标（锁定、可进入、可升级）</t>
  </si>
  <si>
    <t>24×24；锁、门/光点、上箭头；可叠加在建筑Sprite</t>
  </si>
  <si>
    <t>继续使用LOCKED/AVAILABLE/UNLOCKED文字</t>
  </si>
  <si>
    <t>状态与点击反馈一致；不可只靠灰度</t>
  </si>
  <si>
    <t>PRD-11 §8；Docs/08 §1.2.5</t>
  </si>
  <si>
    <t>ART-UI-014</t>
  </si>
  <si>
    <t>建筑与生产</t>
  </si>
  <si>
    <t>灵圃/生产页面视觉套件</t>
  </si>
  <si>
    <t>杂役人数、岗位、产量、维护、停工顺序、加减按钮</t>
  </si>
  <si>
    <t>先用基础UI组件和文字接线</t>
  </si>
  <si>
    <t>等待30秒能清楚看到资源变化和停工原因</t>
  </si>
  <si>
    <t>原创UI</t>
  </si>
  <si>
    <t>Docs/08 §1.3；PRD-02</t>
  </si>
  <si>
    <t>ART-UI-015</t>
  </si>
  <si>
    <t>修士与编队</t>
  </si>
  <si>
    <t>名册、详情、四人编队页面视觉套件</t>
  </si>
  <si>
    <t>七维、三技能、品级、死亡/伤势、四槽位</t>
  </si>
  <si>
    <t>先用列表和色块头像</t>
  </si>
  <si>
    <t>无前后排暗示；死亡修士不可编队</t>
  </si>
  <si>
    <t>Docs/08 §1.4；PRD-03/04</t>
  </si>
  <si>
    <t>ART-UI-016</t>
  </si>
  <si>
    <t>招募与转职</t>
  </si>
  <si>
    <t>招贤馆、候选卡和职业树页面视觉套件</t>
  </si>
  <si>
    <t>三候选、刷新价格、六初始/十二一转节点</t>
  </si>
  <si>
    <t>先用文字卡片和节点连线</t>
  </si>
  <si>
    <t>分支定位、技能与成长差异可读</t>
  </si>
  <si>
    <t>PRD-03 §4、§7</t>
  </si>
  <si>
    <t>ART-UI-017</t>
  </si>
  <si>
    <t>背包/装备/出征</t>
  </si>
  <si>
    <t>仓库、装备与出征装载页面视觉套件</t>
  </si>
  <si>
    <t>物品格、负重条、灵粮携带、确认出征</t>
  </si>
  <si>
    <t>使用基础网格和文字</t>
  </si>
  <si>
    <t>玩家能区分灵粮与负重并看到无法出征原因</t>
  </si>
  <si>
    <t>Docs/08 §1.5–1.6；PRD-07</t>
  </si>
  <si>
    <t>ART-UI-018</t>
  </si>
  <si>
    <t>地图探索</t>
  </si>
  <si>
    <t>地图HUD、格子选中、路径与检定页面视觉套件</t>
  </si>
  <si>
    <t>坐标、灵粮、负重、探查范围、任务、回营；路径消耗</t>
  </si>
  <si>
    <t>灰盒HUD与颜色高亮</t>
  </si>
  <si>
    <t>未知格不泄露对象；检定后果清楚</t>
  </si>
  <si>
    <t>PRD-09 §6；PRD-05</t>
  </si>
  <si>
    <t>ART-UI-019</t>
  </si>
  <si>
    <t>战斗/结算</t>
  </si>
  <si>
    <t>战斗HUD与回城结算视觉套件</t>
  </si>
  <si>
    <t>四头像、行动条、三技能、状态、敌血、嘲讽、1×/2×、暂停</t>
  </si>
  <si>
    <t>纯色头像框、文本状态和进度条</t>
  </si>
  <si>
    <t>不表现前后排；关键信息在低特效下仍完整</t>
  </si>
  <si>
    <t>PRD-09 §7；PRD-04</t>
  </si>
  <si>
    <t>ART-UI-020</t>
  </si>
  <si>
    <t>任务/对话</t>
  </si>
  <si>
    <t>主支线、对话、回看页面视觉套件</t>
  </si>
  <si>
    <t>任务层级、目标、奖励、NPC头像/立绘区</t>
  </si>
  <si>
    <t>沿用现有NPC列表和全屏对话灰盒</t>
  </si>
  <si>
    <t>主线目标一屏可读；可回看且可快速跳过</t>
  </si>
  <si>
    <t>PRD-08；PRD-09 §3</t>
  </si>
  <si>
    <t>ART-UI-021</t>
  </si>
  <si>
    <t>新手引导</t>
  </si>
  <si>
    <t>高亮遮罩、指示箭头、手势与步骤提示素材包</t>
  </si>
  <si>
    <t>鼠标/触控均可理解；安全区内显示</t>
  </si>
  <si>
    <t>用半透明矩形和文字提示</t>
  </si>
  <si>
    <t>一次只要求一个动作；可跳过/回看</t>
  </si>
  <si>
    <t>PRD-09 §8</t>
  </si>
  <si>
    <t>ART-UI-022</t>
  </si>
  <si>
    <t>P2-中</t>
  </si>
  <si>
    <t>设置/Credits</t>
  </si>
  <si>
    <t>设置、许可证和Credits正式页面视觉套件</t>
  </si>
  <si>
    <t>音量、闪光、震屏、字号、许可列表</t>
  </si>
  <si>
    <t>保留现有设置页面壳</t>
  </si>
  <si>
    <t>许可证文本可滚动且不截断</t>
  </si>
  <si>
    <t>必须展示OFL和第三方署名</t>
  </si>
  <si>
    <t>PRD-09 §3、§9</t>
  </si>
  <si>
    <t>ART-UI-023</t>
  </si>
  <si>
    <t>职业/技能</t>
  </si>
  <si>
    <t>新增一转技能图标（补足54主动技能）</t>
  </si>
  <si>
    <t>在Demo 16个基础上增补至54；同系统一笔触</t>
  </si>
  <si>
    <t>阶段开发时继续用符号占位</t>
  </si>
  <si>
    <t>每对分支至少两个技能视觉差异明显</t>
  </si>
  <si>
    <t>MVP原创</t>
  </si>
  <si>
    <t>PRD-03 §11</t>
  </si>
  <si>
    <t>ART-UI-024</t>
  </si>
  <si>
    <t>装备</t>
  </si>
  <si>
    <t>新增装备图标（补足120件）</t>
  </si>
  <si>
    <t>在Demo 20个基础上增补；可复用底型但不能只换色</t>
  </si>
  <si>
    <t>沿用文字物品格</t>
  </si>
  <si>
    <t>同底型需有材质或轮廓差异</t>
  </si>
  <si>
    <t>Docs/02 §12</t>
  </si>
  <si>
    <t>ART-CHR-001</t>
  </si>
  <si>
    <t>六初始职业探索造型源稿</t>
  </si>
  <si>
    <t>2.5头身；32×32或48×48；武修/法修/医修/潜修/符修/体修</t>
  </si>
  <si>
    <t>可先用统一色块小人+职业符号</t>
  </si>
  <si>
    <t>25%缩放可识别职业；无原作肖像相似</t>
  </si>
  <si>
    <t>必须原创或深度改造CC0</t>
  </si>
  <si>
    <t>Docs/02 §4.2、§12</t>
  </si>
  <si>
    <t>ART-CHR-002</t>
  </si>
  <si>
    <t>六初始职业四方向探索动画图集</t>
  </si>
  <si>
    <t>Idle4、Walk6、Interact4、Hurt3、Down6；四方向</t>
  </si>
  <si>
    <t>Demo可用登记免费素材改造，先接通1套公共动作</t>
  </si>
  <si>
    <t>脚底不滑；武器位置不跳；事件帧齐全</t>
  </si>
  <si>
    <t>Demo可CC0改造，MVP原创替换</t>
  </si>
  <si>
    <t>PRD-11 §4/§6；Docs/04 §3.1</t>
  </si>
  <si>
    <t>ART-CHR-003</t>
  </si>
  <si>
    <t>战斗</t>
  </si>
  <si>
    <t>六初始职业战斗造型源稿</t>
  </si>
  <si>
    <t>64×64；3–3.5头身；单方向侧视</t>
  </si>
  <si>
    <t>使用几何占位或临时免费素材</t>
  </si>
  <si>
    <t>肩宽与武器适度夸张；职业剪影清楚</t>
  </si>
  <si>
    <t>Docs/02 §4；Docs/02 §12</t>
  </si>
  <si>
    <t>ART-CHR-004</t>
  </si>
  <si>
    <t>六初始职业完整战斗动画图集</t>
  </si>
  <si>
    <t>Idle4–6、Attack6–10、Cast8–12、Hurt3–4、Death8–12、Revive6–8</t>
  </si>
  <si>
    <t>先让固定新手队使用可替换公共动作</t>
  </si>
  <si>
    <t>cast_commit/hit_frame/recover_start/end标记正确</t>
  </si>
  <si>
    <t>Demo可用许可素材；MVP原创</t>
  </si>
  <si>
    <t>PRD-11 §6；Docs/04 §3.2</t>
  </si>
  <si>
    <t>ART-CHR-005</t>
  </si>
  <si>
    <t>武修一转</t>
  </si>
  <si>
    <t>护山卫与飞剑客战斗造型源稿</t>
  </si>
  <si>
    <t>护山卫盾牌低重心；飞剑客剑匣窄袖锐利轮廓</t>
  </si>
  <si>
    <t>在武修灰盒上加盾/剑匣色块</t>
  </si>
  <si>
    <t>两分支不能只换色；职责从剪影可读</t>
  </si>
  <si>
    <t>Docs/02 §4.3；PRD-03 §6</t>
  </si>
  <si>
    <t>ART-CHR-006</t>
  </si>
  <si>
    <t>护山卫与飞剑客完整战斗动画图集</t>
  </si>
  <si>
    <t>各含三技能差异动作及通用受击/死亡/复活</t>
  </si>
  <si>
    <t>复用武修底层动作并加差异Pose</t>
  </si>
  <si>
    <t>盾击、挑衅、反击与单体/群体剑技可分辨</t>
  </si>
  <si>
    <t>原创关键Pose</t>
  </si>
  <si>
    <t>PRD-11 §4；Docs/04 §4</t>
  </si>
  <si>
    <t>ART-CHR-007</t>
  </si>
  <si>
    <t>修士名册</t>
  </si>
  <si>
    <t>四名固定新手修士差异化头像</t>
  </si>
  <si>
    <t>64×64/96×96；同职业也需发髻、体型或配饰差异</t>
  </si>
  <si>
    <t>通用色块头像+姓名首字</t>
  </si>
  <si>
    <t>四人编队中不会认错角色</t>
  </si>
  <si>
    <t>Docs/08 §1.4；PRD-03 §11</t>
  </si>
  <si>
    <t>ART-CHR-008</t>
  </si>
  <si>
    <t>职业树</t>
  </si>
  <si>
    <t>十八职业节点图标（6初始+12一转）</t>
  </si>
  <si>
    <t>24×24/32×32；保留职业血缘又体现分支职责</t>
  </si>
  <si>
    <t>用职业名首字+连线占位</t>
  </si>
  <si>
    <t>职业卡不只靠服装猜测分支</t>
  </si>
  <si>
    <t>Docs/02 §4.3</t>
  </si>
  <si>
    <t>ART-CHR-009</t>
  </si>
  <si>
    <t>换装挂点</t>
  </si>
  <si>
    <t>Demo武器与背部法宝挂件包</t>
  </si>
  <si>
    <t>件</t>
  </si>
  <si>
    <t>weapon_hand、weapon_back、effect_origin挂点；逐帧稳定</t>
  </si>
  <si>
    <t>武器直接烘焙进角色图集</t>
  </si>
  <si>
    <t>挂点无抖动；不遮关键动作</t>
  </si>
  <si>
    <t>原创法器轮廓</t>
  </si>
  <si>
    <t>Docs/04 §9</t>
  </si>
  <si>
    <t>ART-CHR-010</t>
  </si>
  <si>
    <t>完整一转</t>
  </si>
  <si>
    <t>其余十个一转职业造型源稿</t>
  </si>
  <si>
    <t>在武修两分支外补齐雷法师等十个分支</t>
  </si>
  <si>
    <t>继续复用初始职业灰盒</t>
  </si>
  <si>
    <t>每对分支在轮廓和至少两套技能动作上显著不同</t>
  </si>
  <si>
    <t>ART-CHR-011</t>
  </si>
  <si>
    <t>其余十个一转职业战斗动画图集</t>
  </si>
  <si>
    <t>复用身体底层；每分支至少重制两组Attack/Cast</t>
  </si>
  <si>
    <t>阶段开发时复用初始动作</t>
  </si>
  <si>
    <t>动作命中帧与技能逻辑同步</t>
  </si>
  <si>
    <t>MVP原创关键Pose</t>
  </si>
  <si>
    <t>PRD-11 §4；Docs/04 §4.1</t>
  </si>
  <si>
    <t>ART-CHR-012</t>
  </si>
  <si>
    <t>P3-远期</t>
  </si>
  <si>
    <t>招募外观池</t>
  </si>
  <si>
    <t>六职业招募外观变体</t>
  </si>
  <si>
    <t>每初始职业至少2个体型/发型组合；共用动作底层</t>
  </si>
  <si>
    <t>同职业共用单一形象</t>
  </si>
  <si>
    <t>随机招募不会频繁出现完全同脸</t>
  </si>
  <si>
    <t>原创且避开原作人物组合</t>
  </si>
  <si>
    <t>PRD-03 §2</t>
  </si>
  <si>
    <t>ART-ENM-001</t>
  </si>
  <si>
    <t>地图1</t>
  </si>
  <si>
    <t>地图1普通敌人造型</t>
  </si>
  <si>
    <t>种</t>
  </si>
  <si>
    <t>石灵/尸傀等；普通怪≤20主色；64×64战斗框</t>
  </si>
  <si>
    <t>几何色块或登记免费怪物素材</t>
  </si>
  <si>
    <t>轮廓和攻击职责可区分</t>
  </si>
  <si>
    <t>Demo可CC0改造，MVP原创</t>
  </si>
  <si>
    <t>Docs/02 §5、§12；PRD-06</t>
  </si>
  <si>
    <t>ART-ENM-002</t>
  </si>
  <si>
    <t>地图1精英造型</t>
  </si>
  <si>
    <t>在族群部件上增加独立武器/核心，不只放大换色</t>
  </si>
  <si>
    <t>普通敌人加明显精英标记占位</t>
  </si>
  <si>
    <t>一眼识别为高威胁</t>
  </si>
  <si>
    <t>原创差异部件</t>
  </si>
  <si>
    <t>Docs/02 §12；PRD-06</t>
  </si>
  <si>
    <t>ART-ENM-003</t>
  </si>
  <si>
    <t>守门石灵与尸傀头领造型</t>
  </si>
  <si>
    <t>96×96或128×128；独立弱点、阶段轮廓与地图地标</t>
  </si>
  <si>
    <t>放大灰盒+文字预警，仅用于逻辑</t>
  </si>
  <si>
    <t>危险技能0.6–1.5秒预警；不能只换色放大</t>
  </si>
  <si>
    <t>Docs/05 §3；PRD-06 §5</t>
  </si>
  <si>
    <t>ART-ENM-004</t>
  </si>
  <si>
    <t>地图1战斗</t>
  </si>
  <si>
    <t>地图1敌人战斗动画图集</t>
  </si>
  <si>
    <t>6普通+2精英+2首领；Idle/Attack或Cast/Hurt/Death</t>
  </si>
  <si>
    <t>先复用少量公共动作图集</t>
  </si>
  <si>
    <t>死亡后不再Idle；10单位同屏达性能目标</t>
  </si>
  <si>
    <t>Demo许可素材需登记</t>
  </si>
  <si>
    <t>Docs/04 §3.2；Docs/04 §15</t>
  </si>
  <si>
    <t>ART-ENM-005</t>
  </si>
  <si>
    <t>地图2</t>
  </si>
  <si>
    <t>地图2普通敌人造型</t>
  </si>
  <si>
    <t>尸傀、木魅、禁制化形主题</t>
  </si>
  <si>
    <t>地图2预览不进入完整战斗</t>
  </si>
  <si>
    <t>与地图1族群有部件血缘但职责可读</t>
  </si>
  <si>
    <t>PRD-06 §5/§9</t>
  </si>
  <si>
    <t>ART-ENM-006</t>
  </si>
  <si>
    <t>地图2精英造型</t>
  </si>
  <si>
    <t>机制型精英独立核心/武器</t>
  </si>
  <si>
    <t>后续制作</t>
  </si>
  <si>
    <t>不只换色</t>
  </si>
  <si>
    <t>PRD-06 §9</t>
  </si>
  <si>
    <t>ART-ENM-007</t>
  </si>
  <si>
    <t>封坛尸将、木魅妖母、银甲尸王造型</t>
  </si>
  <si>
    <t>96/128像素；三种职责与剪影；封坛尸将含三阶段</t>
  </si>
  <si>
    <t>Demo仅制作封坛尸将轮廓预览</t>
  </si>
  <si>
    <t>三类Boss标记与战斗轮廓一致</t>
  </si>
  <si>
    <t>原创个体，避免原作妖物复刻</t>
  </si>
  <si>
    <t>Docs/02 §5.2；PRD-06 §5</t>
  </si>
  <si>
    <t>ART-ENM-008</t>
  </si>
  <si>
    <t>地图2战斗</t>
  </si>
  <si>
    <t>地图2敌人战斗动画图集</t>
  </si>
  <si>
    <t>5普通+2精英+3Boss；Boss含阶段切换</t>
  </si>
  <si>
    <t>预警、阶段与逻辑事件帧对齐</t>
  </si>
  <si>
    <t>原创/许可清晰</t>
  </si>
  <si>
    <t>PRD-11 §5/§6</t>
  </si>
  <si>
    <t>ART-ENM-009</t>
  </si>
  <si>
    <t>地图3</t>
  </si>
  <si>
    <t>地图3普通/精英/Boss造型</t>
  </si>
  <si>
    <t>5普通+2精英+3Boss；傀儡、器灵、邪修主题</t>
  </si>
  <si>
    <t>机械关节、能量体和人形高速轮廓清楚</t>
  </si>
  <si>
    <t>Docs/02 §2；PRD-06 §5</t>
  </si>
  <si>
    <t>ART-ENM-010</t>
  </si>
  <si>
    <t>地图3战斗</t>
  </si>
  <si>
    <t>地图3敌人战斗动画图集</t>
  </si>
  <si>
    <t>普通/精英/Boss完整动作</t>
  </si>
  <si>
    <t>器灵半透明效果与命中轮廓兼容</t>
  </si>
  <si>
    <t>ART-ENM-011</t>
  </si>
  <si>
    <t>地图4</t>
  </si>
  <si>
    <t>地图4普通/精英/Boss造型</t>
  </si>
  <si>
    <t>4普通+1精英+3Boss；残魂、玄岩兽、魔道猎手</t>
  </si>
  <si>
    <t>低矮厚重与细长锐利轮廓有强对比</t>
  </si>
  <si>
    <t>ART-ENM-012</t>
  </si>
  <si>
    <t>地图4战斗</t>
  </si>
  <si>
    <t>地图4敌人战斗动画图集</t>
  </si>
  <si>
    <t>残魂透明不影响受击可读性</t>
  </si>
  <si>
    <t>ART-ENM-013</t>
  </si>
  <si>
    <t>地图5</t>
  </si>
  <si>
    <t>地图5普通/精英/Boss造型</t>
  </si>
  <si>
    <t>4普通+1精英+3地区Boss+1最终Boss</t>
  </si>
  <si>
    <t>实体、能量体、尸身与最终Boss轮廓分层</t>
  </si>
  <si>
    <t>ART-ENM-014</t>
  </si>
  <si>
    <t>地图5战斗</t>
  </si>
  <si>
    <t>地图5敌人战斗动画图集</t>
  </si>
  <si>
    <t>含最终Boss多阶段/部件破坏；分层≤12 Sprite</t>
  </si>
  <si>
    <t>阶段变化不只换色；不遮战斗UI</t>
  </si>
  <si>
    <t>Docs/04 §2、§13</t>
  </si>
  <si>
    <t>ART-MAP-001</t>
  </si>
  <si>
    <t>全局探索</t>
  </si>
  <si>
    <t>迷雾、已探索与当前可见三态视觉素材</t>
  </si>
  <si>
    <t>低分辨率Mask+噪声边缘+轻雾纹理；低画质变体</t>
  </si>
  <si>
    <t>先使用黑色/半透明矩形遮罩</t>
  </si>
  <si>
    <t>未知/已探索/可见不混淆；已探索地形可读</t>
  </si>
  <si>
    <t>原创纹理或程序生成</t>
  </si>
  <si>
    <t>Docs/03 §6；Docs/05 §6</t>
  </si>
  <si>
    <t>ART-MAP-002</t>
  </si>
  <si>
    <t>队伍棋子、选中格、路径与移动消耗标记</t>
  </si>
  <si>
    <t>32×32/48×48；整数坐标；路径含方向和消耗</t>
  </si>
  <si>
    <t>使用纯色方格、线段和数字</t>
  </si>
  <si>
    <t>鼠标与触控都能确认目标格；不泄露未知格</t>
  </si>
  <si>
    <t>PRD-09 §6</t>
  </si>
  <si>
    <t>ART-MAP-003</t>
  </si>
  <si>
    <t>地图公共对象</t>
  </si>
  <si>
    <t>十二类POI场景物件（阵眼、洞府、资源、营地、残碑、传送、出口等）</t>
  </si>
  <si>
    <t>类</t>
  </si>
  <si>
    <t>16×16源Tile组合；带可交互呼吸高光挂点</t>
  </si>
  <si>
    <t>使用图标+文字对象</t>
  </si>
  <si>
    <t>3秒内能发现；完成态保持坐标稳定</t>
  </si>
  <si>
    <t>Docs/05 §8；Docs/02 §6.2</t>
  </si>
  <si>
    <t>ART-MAP-004</t>
  </si>
  <si>
    <t>资源点</t>
  </si>
  <si>
    <t>五类野外资源节点</t>
  </si>
  <si>
    <t>灵粮、灵木、玄铁、灵晶、庚精；采集前后双态</t>
  </si>
  <si>
    <t>使用资源图标落点</t>
  </si>
  <si>
    <t>资源类型和是否采集清楚</t>
  </si>
  <si>
    <t>Docs/05 §9</t>
  </si>
  <si>
    <t>ART-MAP-005</t>
  </si>
  <si>
    <t>地图1破禁山麓</t>
  </si>
  <si>
    <t>地图1 TileSet（山石、残符、废营、木栈道）</t>
  </si>
  <si>
    <t>Tile源16×16；覆盖48×64地图；地表/边缘/装饰分层</t>
  </si>
  <si>
    <t>使用测试Tile和纯色逻辑格</t>
  </si>
  <si>
    <t>可走/不可走无需碰撞线也能识别</t>
  </si>
  <si>
    <t>Demo可改造CC0，MVP统一原创</t>
  </si>
  <si>
    <t>Docs/02 §2、§3；Docs/05 §3</t>
  </si>
  <si>
    <t>ART-MAP-006</t>
  </si>
  <si>
    <t>地图1大地标与事件构筑包</t>
  </si>
  <si>
    <t>山门、废营、断崖、外层阵柱；固定坐标构图</t>
  </si>
  <si>
    <t>大色块+文字地标</t>
  </si>
  <si>
    <t>无需小地图也能判断方位</t>
  </si>
  <si>
    <t>Docs/02 §2；Docs/05 §3</t>
  </si>
  <si>
    <t>ART-MAP-007</t>
  </si>
  <si>
    <t>地图1前景遮挡、天气与环境装饰包</t>
  </si>
  <si>
    <t>树冠、梁柱、雾带、尘、山雾；可关闭动态表现</t>
  </si>
  <si>
    <t>只做静态装饰/不做天气</t>
  </si>
  <si>
    <t>不遮交互物；低画质保留路径可读性</t>
  </si>
  <si>
    <t>原创/程序纹理</t>
  </si>
  <si>
    <t>Docs/02 §6.2；Docs/05 §10–11</t>
  </si>
  <si>
    <t>ART-MAP-008</t>
  </si>
  <si>
    <t>地图1小型副本</t>
  </si>
  <si>
    <t>地图1小型副本入口与独立小场景模块</t>
  </si>
  <si>
    <t>石门/洞府入口+小场景背景；含属性检定节点</t>
  </si>
  <si>
    <t>使用弹窗或纯色独立场景</t>
  </si>
  <si>
    <t>入口尺寸与对比高于普通POI</t>
  </si>
  <si>
    <t>Docs/02 §2.1；Docs/05 §8</t>
  </si>
  <si>
    <t>ART-MAP-009</t>
  </si>
  <si>
    <t>地图2预览</t>
  </si>
  <si>
    <t>地图2白玉广场预览Tile与边界景观</t>
  </si>
  <si>
    <t>白玉、铜灯、朱砂阵眼；可进入有限区域</t>
  </si>
  <si>
    <t>使用地图1测试Tile换色仅作内部预览</t>
  </si>
  <si>
    <t>与地图1视觉主题明显不同；预览边界合理</t>
  </si>
  <si>
    <t>公开Demo不得简单换色冒充成品</t>
  </si>
  <si>
    <t>Docs/02 §2；PRD-00 §5</t>
  </si>
  <si>
    <t>ART-MAP-010</t>
  </si>
  <si>
    <t>地图2白玉广场</t>
  </si>
  <si>
    <t>地图2完整TileSet与场景模块</t>
  </si>
  <si>
    <t>64×64地图；普通区、事件、小副本、三Boss地标、两类出口</t>
  </si>
  <si>
    <t>玉砖、阵眼和洞府构图稳定；地图2→4出口可读</t>
  </si>
  <si>
    <t>Docs/05 §3；PRD-11 §3</t>
  </si>
  <si>
    <t>ART-MAP-011</t>
  </si>
  <si>
    <t>地图3灵宝遗址</t>
  </si>
  <si>
    <t>地图3完整TileSet与场景模块</t>
  </si>
  <si>
    <t>铜绿、器架、库门、残器；56×72</t>
  </si>
  <si>
    <t>高负重收益区与机关区可读</t>
  </si>
  <si>
    <t>ART-MAP-012</t>
  </si>
  <si>
    <t>地图4古殿群</t>
  </si>
  <si>
    <t>地图4完整TileSet与场景模块</t>
  </si>
  <si>
    <t>殿柱、丹陛、帷幔、封印令；72×64</t>
  </si>
  <si>
    <t>主殿/偏殿/封印令台层级清楚</t>
  </si>
  <si>
    <t>ART-MAP-013</t>
  </si>
  <si>
    <t>地图5镇魔禁域</t>
  </si>
  <si>
    <t>地图5完整TileSet与场景模块</t>
  </si>
  <si>
    <t>封链、塔砖、魔气、裂隙；64×80</t>
  </si>
  <si>
    <t>实体地形与魔气危险区不混淆</t>
  </si>
  <si>
    <t>ART-MAP-014</t>
  </si>
  <si>
    <t>战斗背景</t>
  </si>
  <si>
    <t>地图1战斗背景/战斗地面</t>
  </si>
  <si>
    <t>普通、精英、Boss三档；不遮单位和预警</t>
  </si>
  <si>
    <t>使用纯色渐变或地图Tile拼接</t>
  </si>
  <si>
    <t>单位、伤害数字和地面预警清晰</t>
  </si>
  <si>
    <t>Docs/03 §1；PRD-04</t>
  </si>
  <si>
    <t>ART-MAP-015</t>
  </si>
  <si>
    <t>地图2战斗背景/战斗地面</t>
  </si>
  <si>
    <t>普通、支线/精英、Boss三档</t>
  </si>
  <si>
    <t>白玉地面不吞掉青白技能特效</t>
  </si>
  <si>
    <t>Docs/03 §3</t>
  </si>
  <si>
    <t>ART-MAP-016</t>
  </si>
  <si>
    <t>地图3–5战斗背景包</t>
  </si>
  <si>
    <t>每图普通、精英/支线、Boss三档</t>
  </si>
  <si>
    <t>与各地图色盘一致且保留预警对比度</t>
  </si>
  <si>
    <t>Docs/02 §2；Docs/03 §3</t>
  </si>
  <si>
    <t>ART-VFX-001</t>
  </si>
  <si>
    <t>技能基础库</t>
  </si>
  <si>
    <t>六类能量基础粒子/序列帧素材</t>
  </si>
  <si>
    <t>剑气、灵火、雷法、阵法、治疗、魔气；含发射/飞行/命中</t>
  </si>
  <si>
    <t>使用Cocos简单粒子和几何线条</t>
  </si>
  <si>
    <t>能量类别不只靠颜色；主体像素边缘清晰</t>
  </si>
  <si>
    <t>Demo可用登记CC0，MVP重制</t>
  </si>
  <si>
    <t>Docs/03 §3；PRD-11 §7</t>
  </si>
  <si>
    <t>ART-VFX-002</t>
  </si>
  <si>
    <t>职业技能</t>
  </si>
  <si>
    <t>Demo 16个技能表现包</t>
  </si>
  <si>
    <t>与技能图标和人物命中帧对应；普通技能短演出</t>
  </si>
  <si>
    <t>复用六类能量基础库组合</t>
  </si>
  <si>
    <t>技能目标、命中时机和强度可读</t>
  </si>
  <si>
    <t>MVP需重制轮廓、节奏和色盘</t>
  </si>
  <si>
    <t>Docs/03 §4；Docs/02 §12</t>
  </si>
  <si>
    <t>ART-VFX-003</t>
  </si>
  <si>
    <t>通用战斗反馈</t>
  </si>
  <si>
    <t>命中、暴击、治疗、护盾、闪避、格挡、死亡、复活等反馈包</t>
  </si>
  <si>
    <t>伤害数字不被遮挡；可对象池复用</t>
  </si>
  <si>
    <t>Tween+文字数字+少量粒子</t>
  </si>
  <si>
    <t>关闭高质量特效后规则信息仍完整</t>
  </si>
  <si>
    <t>原创/许可明确</t>
  </si>
  <si>
    <t>Docs/03 §4.2、§10</t>
  </si>
  <si>
    <t>ART-VFX-004</t>
  </si>
  <si>
    <t>三类Boss地图标记与战斗预警动画</t>
  </si>
  <si>
    <t>地面阵纹、电弧聚集、符文倒计时；0.6–1.5秒</t>
  </si>
  <si>
    <t>纯色预警圈+倒计时文字</t>
  </si>
  <si>
    <t>低画质仍能看到范围和伤害时点</t>
  </si>
  <si>
    <t>Docs/03 §6.1；PRD-06 §10</t>
  </si>
  <si>
    <t>ART-VFX-005</t>
  </si>
  <si>
    <t>地图1 Boss</t>
  </si>
  <si>
    <t>守门石灵/尸傀头领阶段切换与终结特效</t>
  </si>
  <si>
    <t>弱点显露、石裂/魂火；不做血腥肢解</t>
  </si>
  <si>
    <t>镜头轻震+色闪+文字阶段提示</t>
  </si>
  <si>
    <t>阶段轮廓改变且不遮UI</t>
  </si>
  <si>
    <t>Docs/02 §5.2；Docs/03 §8</t>
  </si>
  <si>
    <t>ART-VFX-006</t>
  </si>
  <si>
    <t>迷雾揭开、神识扩散与属性检定反馈</t>
  </si>
  <si>
    <t>Mask扩散、属性汇聚、成功/险过/强行通过三态</t>
  </si>
  <si>
    <t>简单遮罩Tween+文字结果</t>
  </si>
  <si>
    <t>检定结果和失败代价一眼可读</t>
  </si>
  <si>
    <t>程序生成/原创</t>
  </si>
  <si>
    <t>Docs/03 §6</t>
  </si>
  <si>
    <t>ART-VFX-007</t>
  </si>
  <si>
    <t>营地/UI</t>
  </si>
  <si>
    <t>资源增减、招募、升级、掉落、建筑解锁反馈包</t>
  </si>
  <si>
    <t>轻弹、上浮数字、朱印落下、灰影到完整色彩</t>
  </si>
  <si>
    <t>使用Tween和文字Toast</t>
  </si>
  <si>
    <t>不使用全屏红闪；重复操作不残留</t>
  </si>
  <si>
    <t>Docs/03 §9</t>
  </si>
  <si>
    <t>ART-VFX-008</t>
  </si>
  <si>
    <t>营地/地图</t>
  </si>
  <si>
    <t>传送阵启动与场景切换特效</t>
  </si>
  <si>
    <t>角色溶解、阵纹亮起、切场遮罩</t>
  </si>
  <si>
    <t>淡入淡出+加载遮罩</t>
  </si>
  <si>
    <t>切场不露黑帧；可跳过长前摇</t>
  </si>
  <si>
    <t>ART-VFX-009</t>
  </si>
  <si>
    <t>地图环境</t>
  </si>
  <si>
    <t>尘、雨、灵气、魔气环境特效</t>
  </si>
  <si>
    <t>分地图Bundle；不超过性能预算；可关闭</t>
  </si>
  <si>
    <t>Demo仅静态纹理或不启用</t>
  </si>
  <si>
    <t>不遮交互物；低端机关闭后地图仍完整</t>
  </si>
  <si>
    <t>原创/程序生成</t>
  </si>
  <si>
    <t>Docs/03 §5；Docs/02 §6.2</t>
  </si>
  <si>
    <t>ART-VFX-010</t>
  </si>
  <si>
    <t>性能适配</t>
  </si>
  <si>
    <t>核心特效低画质变体</t>
  </si>
  <si>
    <t>减少粒子/柔光/扭曲但保留预警、命中和范围</t>
  </si>
  <si>
    <t>直接复用基础几何预警</t>
  </si>
  <si>
    <t>桌面与移动Web均可切换且规则不丢失</t>
  </si>
  <si>
    <t>与正式VFX同许可</t>
  </si>
  <si>
    <t>PRD-11 §7；Docs/03 §11</t>
  </si>
  <si>
    <t>ART-BRAND-001</t>
  </si>
  <si>
    <t>启动页</t>
  </si>
  <si>
    <t>原创游戏Logo/标题字</t>
  </si>
  <si>
    <t>竖屏小尺寸可读；不使用原作Logo字体/构图</t>
  </si>
  <si>
    <t>Boot继续显示纯文字标题</t>
  </si>
  <si>
    <t>375px宽下清晰；黑底和场景底均可用</t>
  </si>
  <si>
    <t>必须原创</t>
  </si>
  <si>
    <t>Docs/02 顶部IP说明</t>
  </si>
  <si>
    <t>ART-BRAND-002</t>
  </si>
  <si>
    <t>主菜单/商店页</t>
  </si>
  <si>
    <t>Demo主视觉/封面图</t>
  </si>
  <si>
    <t>375:817竖图；原创禁地山门+四人剪影</t>
  </si>
  <si>
    <t>使用游戏内大厅/地图截图</t>
  </si>
  <si>
    <t>不暗示原作官方授权</t>
  </si>
  <si>
    <t>PRD-09 §3</t>
  </si>
  <si>
    <t>ART-BRAND-003</t>
  </si>
  <si>
    <t>标题与章节</t>
  </si>
  <si>
    <t>定制像素篆刻标题字形</t>
  </si>
  <si>
    <t>仅标题/章节使用；正文继续Ark Pixel</t>
  </si>
  <si>
    <t>沿用现有OFL字体</t>
  </si>
  <si>
    <t>常用标题字符完整且小尺寸可读</t>
  </si>
  <si>
    <t>原创字形或明确授权</t>
  </si>
  <si>
    <t>Docs/02 §7.2</t>
  </si>
  <si>
    <t>ART-BRAND-004</t>
  </si>
  <si>
    <t>剧情结局</t>
  </si>
  <si>
    <t>结局与章节插图</t>
  </si>
  <si>
    <t>轻量像素场景/角色剪影；不做长篇逐帧动画</t>
  </si>
  <si>
    <t>使用游戏内场景截图+文字</t>
  </si>
  <si>
    <t>可跳过、可回看；无原作角色复刻</t>
  </si>
  <si>
    <t>现有素材、灰盒与文档中提及但未落地的免费素材</t>
  </si>
  <si>
    <t>注意：“文档中写过可用”不等于本地已收集或许可已核验。当前仅Ark Pixel字体可直接作为正式资产继续使用。</t>
  </si>
  <si>
    <t>类型</t>
  </si>
  <si>
    <t>名称</t>
  </si>
  <si>
    <t>数量</t>
  </si>
  <si>
    <t>当前用途</t>
  </si>
  <si>
    <t>可用于Demo</t>
  </si>
  <si>
    <t>可作为MVP正式</t>
  </si>
  <si>
    <t>本地路径/证据</t>
  </si>
  <si>
    <t>许可/风险</t>
  </si>
  <si>
    <t>后续动作</t>
  </si>
  <si>
    <t>Ark Pixel 12px 中文字体</t>
  </si>
  <si>
    <t>正文与灰盒UI</t>
  </si>
  <si>
    <t>是（保留OFL）</t>
  </si>
  <si>
    <t>assets/fonts/ark-pixel-12px-proportional-zh_cn.ttf</t>
  </si>
  <si>
    <t>OFL；发布包需保留许可证</t>
  </si>
  <si>
    <t>继续使用，补充Credits展示</t>
  </si>
  <si>
    <t>UI占位</t>
  </si>
  <si>
    <t>Kenney Pixel UI 九宫格</t>
  </si>
  <si>
    <t>按钮/面板占位</t>
  </si>
  <si>
    <t>否（风格不统一）</t>
  </si>
  <si>
    <t>assets/third_party/kenney_pixel_ui/*.png</t>
  </si>
  <si>
    <t>本地含License与PROVENANCE</t>
  </si>
  <si>
    <t>MVP替换为原创墨色/青铜/朱砂主题</t>
  </si>
  <si>
    <t>参考图</t>
  </si>
  <si>
    <t>大厅左/中/右参考图</t>
  </si>
  <si>
    <t>大厅构图参考</t>
  </si>
  <si>
    <t>仅内部参考</t>
  </si>
  <si>
    <t>assets/refer/lobby_left.jpg 等</t>
  </si>
  <si>
    <t>来源/商用权不能按正式资产推定</t>
  </si>
  <si>
    <t>只用于构图，不直接打包发布</t>
  </si>
  <si>
    <t>灰盒</t>
  </si>
  <si>
    <t>Camp三层横滑大厅</t>
  </si>
  <si>
    <t>功能与布局验证</t>
  </si>
  <si>
    <t>assets/bundles/camp/Camp.scene</t>
  </si>
  <si>
    <t>Cocos节点与纯色Sprite，不是正式美术</t>
  </si>
  <si>
    <t>按缺口明细逐层替换</t>
  </si>
  <si>
    <t>Boot启动场景</t>
  </si>
  <si>
    <t>启动流程验证</t>
  </si>
  <si>
    <t>assets/scenes/Boot.scene</t>
  </si>
  <si>
    <t>无正式品牌视觉</t>
  </si>
  <si>
    <t>补Logo与加载背景</t>
  </si>
  <si>
    <t>数据壳</t>
  </si>
  <si>
    <t>地图Bundle清单</t>
  </si>
  <si>
    <t>分包和加载验证</t>
  </si>
  <si>
    <t>assets/bundles/map_01、map_02</t>
  </si>
  <si>
    <t>只有manifest，无Tile/场景资源</t>
  </si>
  <si>
    <t>优先补地图1，地图2先做预览包</t>
  </si>
  <si>
    <t>空目录</t>
  </si>
  <si>
    <t>正式美术目录</t>
  </si>
  <si>
    <t>尚无文件</t>
  </si>
  <si>
    <t>assets/art</t>
  </si>
  <si>
    <t>当前为空</t>
  </si>
  <si>
    <t>建立characters/environment/ui/icons分层</t>
  </si>
  <si>
    <t>正式VFX目录</t>
  </si>
  <si>
    <t>assets/vfx</t>
  </si>
  <si>
    <t>建立common/skills/environment/boss分层</t>
  </si>
  <si>
    <t>文档提及但本地缺失</t>
  </si>
  <si>
    <t>SamuraiTopdown_CC0</t>
  </si>
  <si>
    <t>探索人物/斩击占位候选</t>
  </si>
  <si>
    <t>否（未下载）</t>
  </si>
  <si>
    <t>Docs/02 §9中提及；本地无对应目录</t>
  </si>
  <si>
    <t>不能视为已取得许可或已收集</t>
  </si>
  <si>
    <t>若使用需重新下载、核验许可、登记来源</t>
  </si>
  <si>
    <t>SamuraiSideview_CC0</t>
  </si>
  <si>
    <t>战斗节奏参考候选</t>
  </si>
  <si>
    <t>未取得本地副本和许可记录</t>
  </si>
  <si>
    <t>仅作动作节奏参考，不作为MVP成品</t>
  </si>
  <si>
    <t>Monk_CC0</t>
  </si>
  <si>
    <t>施法/御器占位候选</t>
  </si>
  <si>
    <t>下载后仍需重制职业轮廓</t>
  </si>
  <si>
    <t>AnimatedMonsters_CC0</t>
  </si>
  <si>
    <t>怪物占位候选</t>
  </si>
  <si>
    <t>下载后需加原创族群部件</t>
  </si>
  <si>
    <t>PunyDungeon_CC0</t>
  </si>
  <si>
    <t>遗迹Tile灰盒候选</t>
  </si>
  <si>
    <t>公开Demo前改为白玉/青铜/朱砂语汇</t>
  </si>
  <si>
    <t>TopdownDungeonCharacter_CC0</t>
  </si>
  <si>
    <t>地图角色占位候选</t>
  </si>
  <si>
    <t>下载后统一32/48像素比例</t>
  </si>
  <si>
    <t>KenneyRunes_CC0</t>
  </si>
  <si>
    <t>技能/禁制图标候选</t>
  </si>
  <si>
    <t>Docs/02 §8–9中提及；本地无对应目录</t>
  </si>
  <si>
    <t>可收集作Demo占位，MVP必须原创</t>
  </si>
  <si>
    <t>SpellEffects_CC0</t>
  </si>
  <si>
    <t>法术VFX候选</t>
  </si>
  <si>
    <t>Docs/03 §13中提及；本地无对应目录</t>
  </si>
  <si>
    <t>若使用需重制轮廓、节奏、色盘和命中段</t>
  </si>
  <si>
    <t>美术制作规格与验收速查</t>
  </si>
  <si>
    <t>以下为当前文档中的硬性口径，外包、免费素材改造和原创制作均应遵守。</t>
  </si>
  <si>
    <t>类别</t>
  </si>
  <si>
    <t>项目</t>
  </si>
  <si>
    <t>当前标准</t>
  </si>
  <si>
    <t>说明/验收</t>
  </si>
  <si>
    <t>基础画布</t>
  </si>
  <si>
    <t>参考像素画布</t>
  </si>
  <si>
    <t>360×640</t>
  </si>
  <si>
    <t>整数倍放大；UI设计视窗另为375×817</t>
  </si>
  <si>
    <t>Web视窗</t>
  </si>
  <si>
    <t>PC/H5可见区</t>
  </si>
  <si>
    <t>375:817</t>
  </si>
  <si>
    <t>高度优先等比缩放；两侧/上下黑边；内容不得整体压扁</t>
  </si>
  <si>
    <t>Cocos设计坐标</t>
  </si>
  <si>
    <t>内部设计分辨率</t>
  </si>
  <si>
    <t>1080×1920</t>
  </si>
  <si>
    <t>大厅全景保留独立横向内容宽度</t>
  </si>
  <si>
    <t>Tile</t>
  </si>
  <si>
    <t>地图源尺寸</t>
  </si>
  <si>
    <t>16×16</t>
  </si>
  <si>
    <t>Point过滤、无抗锯齿、整数坐标</t>
  </si>
  <si>
    <t>探索角色</t>
  </si>
  <si>
    <t>逻辑框</t>
  </si>
  <si>
    <t>32×32或48×48</t>
  </si>
  <si>
    <t>约2.5头身；四方向</t>
  </si>
  <si>
    <t>战斗角色</t>
  </si>
  <si>
    <t>64×64</t>
  </si>
  <si>
    <t>约3–3.5头身；单方向侧视</t>
  </si>
  <si>
    <t>96×96或128×128</t>
  </si>
  <si>
    <t>占战斗区高度不超过45%</t>
  </si>
  <si>
    <t>UI图标</t>
  </si>
  <si>
    <t>源尺寸</t>
  </si>
  <si>
    <t>16×16、24×24、32×32</t>
  </si>
  <si>
    <t>24×24下仍需辨认</t>
  </si>
  <si>
    <t>颜色</t>
  </si>
  <si>
    <t>角色/怪物主色</t>
  </si>
  <si>
    <t>角色24–32色；普通怪≤20色</t>
  </si>
  <si>
    <t>特效柔光必须放独立层</t>
  </si>
  <si>
    <t>图集</t>
  </si>
  <si>
    <t>单张优先上限</t>
  </si>
  <si>
    <t>2048×2048</t>
  </si>
  <si>
    <t>按职业和地图Bundle拆分</t>
  </si>
  <si>
    <t>探索动画</t>
  </si>
  <si>
    <t>帧数基线</t>
  </si>
  <si>
    <t>Idle4/Walk6/Interact4/Hurt3/Down6</t>
  </si>
  <si>
    <t>逐格移动0.16–0.22秒</t>
  </si>
  <si>
    <t>战斗动画</t>
  </si>
  <si>
    <t>Idle4–6/Attack6–10/Cast8–12/Hurt3–4/Death8–12/Revive6–8</t>
  </si>
  <si>
    <t>普通技能演出≤1.2秒</t>
  </si>
  <si>
    <t>Boss预警</t>
  </si>
  <si>
    <t>前摇</t>
  </si>
  <si>
    <t>0.6–1.5秒</t>
  </si>
  <si>
    <t>低画质仍必须保留范围与伤害时点</t>
  </si>
  <si>
    <t>触控</t>
  </si>
  <si>
    <t>最小热区</t>
  </si>
  <si>
    <t>48×48dp</t>
  </si>
  <si>
    <t>鼠标和触控交互等价</t>
  </si>
  <si>
    <t>交付</t>
  </si>
  <si>
    <t>每套资产</t>
  </si>
  <si>
    <t>源文件+PNG/图集+预览</t>
  </si>
  <si>
    <t>附锚点、FPS、事件帧、作者、许可、署名要求</t>
  </si>
  <si>
    <t>IP</t>
  </si>
  <si>
    <t>人物与场景</t>
  </si>
  <si>
    <t>原创优先</t>
  </si>
  <si>
    <t>不得临摹原作人物、服装、Logo、场景构图或法宝外形</t>
  </si>
  <si>
    <t>免费素材</t>
  </si>
  <si>
    <t>Demo使用</t>
  </si>
  <si>
    <t>许可登记后可用</t>
  </si>
  <si>
    <t>MVP不能只换色；需重制剪影、关键Pose、笔触或色盘</t>
  </si>
  <si>
    <t>验收</t>
  </si>
  <si>
    <t>可读性</t>
  </si>
  <si>
    <t>25%缩放</t>
  </si>
  <si>
    <t>职业、敌人层级和交互点仍可辨认</t>
  </si>
  <si>
    <t>交付包必须包含</t>
  </si>
  <si>
    <t>1</t>
  </si>
  <si>
    <t>源文件</t>
  </si>
  <si>
    <t>Aseprite/PSD或其他可编辑源文件</t>
  </si>
  <si>
    <t>图层命名清楚，第三方与原创分离</t>
  </si>
  <si>
    <t>2</t>
  </si>
  <si>
    <t>运行时文件</t>
  </si>
  <si>
    <t>PNG、Sprite Sheet、图集或材质</t>
  </si>
  <si>
    <t>Point过滤、无抗锯齿、尺寸与锚点明确</t>
  </si>
  <si>
    <t>3</t>
  </si>
  <si>
    <t>动画说明</t>
  </si>
  <si>
    <t>FPS、循环、事件帧</t>
  </si>
  <si>
    <t>cast_commit、hit_frame、recover_start、animation_end</t>
  </si>
  <si>
    <t>4</t>
  </si>
  <si>
    <t>预览</t>
  </si>
  <si>
    <t>GIF或短视频</t>
  </si>
  <si>
    <t>能快速评审动作、循环和VFX节奏</t>
  </si>
  <si>
    <t>5</t>
  </si>
  <si>
    <t>用途</t>
  </si>
  <si>
    <t>页面、场景、角色或技能ID</t>
  </si>
  <si>
    <t>避免同名素材误用</t>
  </si>
  <si>
    <t>6</t>
  </si>
  <si>
    <t>权利信息</t>
  </si>
  <si>
    <t>作者、来源、许可、署名</t>
  </si>
  <si>
    <t>免费素材必须保留原始下载地址和许可快照</t>
  </si>
  <si>
    <t>7</t>
  </si>
  <si>
    <t>验收记录</t>
  </si>
  <si>
    <t>缩放、Web端、低画质、IP复核</t>
  </si>
  <si>
    <t>桌面Chrome/Firefox、Android Chrome、iOS Safari抽查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</si>
</sst>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DDE8E5"/>
      <name val="Microsoft YaHei"/>
      <charset val="134"/>
    </font>
    <font>
      <sz val="10"/>
      <name val="Microsoft YaHei"/>
      <charset val="134"/>
    </font>
    <font>
      <b/>
      <sz val="18"/>
      <color rgb="FFFFFFFF"/>
      <name val="Microsoft YaHei"/>
      <charset val="134"/>
    </font>
    <font>
      <i/>
      <sz val="11"/>
      <color rgb="FF21312F"/>
      <name val="Microsoft YaHei"/>
      <charset val="134"/>
    </font>
    <font>
      <b/>
      <sz val="11"/>
      <color rgb="FFFFFFFF"/>
      <name val="Microsoft YaHei"/>
      <charset val="134"/>
    </font>
    <font>
      <sz val="9"/>
      <name val="Microsoft YaHei"/>
      <charset val="134"/>
    </font>
    <font>
      <b/>
      <sz val="20"/>
      <color rgb="FF15201F"/>
      <name val="Microsoft YaHei"/>
      <charset val="134"/>
    </font>
    <font>
      <b/>
      <sz val="11"/>
      <color rgb="FFFFFFFF"/>
      <name val="Carlito"/>
      <charset val="134"/>
    </font>
    <font>
      <sz val="10"/>
      <color rgb="FF15201F"/>
      <name val="Carlito"/>
      <charset val="134"/>
    </font>
    <font>
      <b/>
      <sz val="11"/>
      <color rgb="FF21312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5201F"/>
        <bgColor indexed="64"/>
      </patternFill>
    </fill>
    <fill>
      <patternFill patternType="solid">
        <fgColor rgb="FF21312F"/>
        <bgColor indexed="64"/>
      </patternFill>
    </fill>
    <fill>
      <patternFill patternType="solid">
        <fgColor rgb="FF3F7168"/>
        <bgColor indexed="64"/>
      </patternFill>
    </fill>
    <fill>
      <patternFill patternType="solid">
        <fgColor rgb="FF987445"/>
        <bgColor indexed="64"/>
      </patternFill>
    </fill>
    <fill>
      <patternFill patternType="solid">
        <fgColor rgb="FFDDEBE6"/>
        <bgColor indexed="64"/>
      </patternFill>
    </fill>
    <fill>
      <patternFill patternType="solid">
        <fgColor rgb="FFF4F0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D6DFDC"/>
      </bottom>
      <diagonal/>
    </border>
    <border>
      <left/>
      <right/>
      <top style="thin">
        <color rgb="FFD6DFDC"/>
      </top>
      <bottom style="thin">
        <color rgb="FFD6DFDC"/>
      </bottom>
      <diagonal/>
    </border>
    <border>
      <left/>
      <right/>
      <top style="thin">
        <color rgb="FFD6DFDC"/>
      </top>
      <bottom style="thin">
        <color rgb="FFA9B8B4"/>
      </bottom>
      <diagonal/>
    </border>
    <border>
      <left style="thin">
        <color rgb="FF987445"/>
      </left>
      <right/>
      <top style="thin">
        <color rgb="FF987445"/>
      </top>
      <bottom/>
      <diagonal/>
    </border>
    <border>
      <left/>
      <right/>
      <top style="thin">
        <color rgb="FF987445"/>
      </top>
      <bottom/>
      <diagonal/>
    </border>
    <border>
      <left/>
      <right style="thin">
        <color rgb="FF987445"/>
      </right>
      <top style="thin">
        <color rgb="FF987445"/>
      </top>
      <bottom/>
      <diagonal/>
    </border>
    <border>
      <left style="thin">
        <color rgb="FF987445"/>
      </left>
      <right/>
      <top/>
      <bottom/>
      <diagonal/>
    </border>
    <border>
      <left/>
      <right style="thin">
        <color rgb="FF987445"/>
      </right>
      <top/>
      <bottom/>
      <diagonal/>
    </border>
    <border>
      <left style="thin">
        <color rgb="FF987445"/>
      </left>
      <right/>
      <top/>
      <bottom style="thin">
        <color rgb="FF987445"/>
      </bottom>
      <diagonal/>
    </border>
    <border>
      <left/>
      <right/>
      <top/>
      <bottom style="thin">
        <color rgb="FF987445"/>
      </bottom>
      <diagonal/>
    </border>
    <border>
      <left/>
      <right style="thin">
        <color rgb="FF987445"/>
      </right>
      <top/>
      <bottom style="thin">
        <color rgb="FF98744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5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3" fillId="0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1" fillId="5" borderId="0" xfId="49" applyNumberFormat="1" applyFont="1" applyFill="1" applyBorder="1" applyAlignment="1">
      <alignment horizontal="center" vertical="top" wrapText="1"/>
    </xf>
    <xf numFmtId="0" fontId="4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5" fillId="6" borderId="0" xfId="49" applyNumberFormat="1" applyFont="1" applyFill="1" applyBorder="1" applyAlignment="1">
      <alignment wrapText="1"/>
    </xf>
    <xf numFmtId="0" fontId="6" fillId="4" borderId="1" xfId="49" applyNumberFormat="1" applyFont="1" applyFill="1" applyBorder="1" applyAlignment="1">
      <alignment horizontal="center" vertical="center" wrapText="1"/>
    </xf>
    <xf numFmtId="0" fontId="7" fillId="0" borderId="2" xfId="49" applyNumberFormat="1" applyFont="1" applyFill="1" applyBorder="1" applyAlignment="1">
      <alignment vertical="top"/>
    </xf>
    <xf numFmtId="0" fontId="7" fillId="0" borderId="2" xfId="49" applyNumberFormat="1" applyFont="1" applyFill="1" applyBorder="1" applyAlignment="1">
      <alignment vertical="top" wrapText="1"/>
    </xf>
    <xf numFmtId="1" fontId="7" fillId="0" borderId="2" xfId="49" applyNumberFormat="1" applyFont="1" applyFill="1" applyBorder="1" applyAlignment="1">
      <alignment horizontal="center" vertical="top"/>
    </xf>
    <xf numFmtId="0" fontId="7" fillId="0" borderId="2" xfId="49" applyNumberFormat="1" applyFont="1" applyFill="1" applyBorder="1" applyAlignment="1">
      <alignment horizontal="center" vertical="top"/>
    </xf>
    <xf numFmtId="0" fontId="7" fillId="0" borderId="3" xfId="49" applyNumberFormat="1" applyFont="1" applyFill="1" applyBorder="1" applyAlignment="1">
      <alignment vertical="top"/>
    </xf>
    <xf numFmtId="0" fontId="7" fillId="0" borderId="3" xfId="49" applyNumberFormat="1" applyFont="1" applyFill="1" applyBorder="1" applyAlignment="1">
      <alignment vertical="top" wrapText="1"/>
    </xf>
    <xf numFmtId="1" fontId="7" fillId="0" borderId="3" xfId="49" applyNumberFormat="1" applyFont="1" applyFill="1" applyBorder="1" applyAlignment="1">
      <alignment horizontal="center" vertical="top"/>
    </xf>
    <xf numFmtId="0" fontId="7" fillId="0" borderId="3" xfId="49" applyNumberFormat="1" applyFont="1" applyFill="1" applyBorder="1" applyAlignment="1">
      <alignment horizontal="center" vertical="top"/>
    </xf>
    <xf numFmtId="0" fontId="8" fillId="6" borderId="0" xfId="49" applyNumberFormat="1" applyFont="1" applyFill="1" applyBorder="1" applyAlignment="1">
      <alignment horizontal="center" vertical="center"/>
    </xf>
    <xf numFmtId="176" fontId="8" fillId="6" borderId="0" xfId="49" applyNumberFormat="1" applyFont="1" applyFill="1" applyBorder="1" applyAlignment="1">
      <alignment horizontal="center" vertical="center"/>
    </xf>
    <xf numFmtId="0" fontId="6" fillId="3" borderId="0" xfId="49" applyNumberFormat="1" applyFont="1" applyFill="1" applyBorder="1" applyAlignment="1">
      <alignment horizontal="center" vertical="center"/>
    </xf>
    <xf numFmtId="0" fontId="9" fillId="4" borderId="0" xfId="49" applyNumberFormat="1" applyFont="1" applyFill="1" applyBorder="1" applyAlignment="1">
      <alignment horizontal="center"/>
    </xf>
    <xf numFmtId="0" fontId="9" fillId="5" borderId="0" xfId="49" applyNumberFormat="1" applyFont="1" applyFill="1" applyBorder="1" applyAlignment="1">
      <alignment horizontal="center"/>
    </xf>
    <xf numFmtId="0" fontId="10" fillId="7" borderId="4" xfId="49" applyNumberFormat="1" applyFont="1" applyFill="1" applyBorder="1" applyAlignment="1">
      <alignment vertical="top" wrapText="1"/>
    </xf>
    <xf numFmtId="0" fontId="10" fillId="7" borderId="5" xfId="49" applyNumberFormat="1" applyFont="1" applyFill="1" applyBorder="1" applyAlignment="1">
      <alignment vertical="top" wrapText="1"/>
    </xf>
    <xf numFmtId="0" fontId="10" fillId="7" borderId="6" xfId="49" applyNumberFormat="1" applyFont="1" applyFill="1" applyBorder="1" applyAlignment="1">
      <alignment vertical="top" wrapText="1"/>
    </xf>
    <xf numFmtId="0" fontId="10" fillId="7" borderId="7" xfId="49" applyNumberFormat="1" applyFont="1" applyFill="1" applyBorder="1" applyAlignment="1">
      <alignment vertical="top" wrapText="1"/>
    </xf>
    <xf numFmtId="0" fontId="10" fillId="7" borderId="0" xfId="49" applyNumberFormat="1" applyFont="1" applyFill="1" applyBorder="1" applyAlignment="1">
      <alignment vertical="top" wrapText="1"/>
    </xf>
    <xf numFmtId="0" fontId="10" fillId="7" borderId="8" xfId="49" applyNumberFormat="1" applyFont="1" applyFill="1" applyBorder="1" applyAlignment="1">
      <alignment vertical="top" wrapText="1"/>
    </xf>
    <xf numFmtId="0" fontId="10" fillId="7" borderId="9" xfId="49" applyNumberFormat="1" applyFont="1" applyFill="1" applyBorder="1" applyAlignment="1">
      <alignment vertical="top" wrapText="1"/>
    </xf>
    <xf numFmtId="0" fontId="10" fillId="7" borderId="10" xfId="49" applyNumberFormat="1" applyFont="1" applyFill="1" applyBorder="1" applyAlignment="1">
      <alignment vertical="top" wrapText="1"/>
    </xf>
    <xf numFmtId="0" fontId="10" fillId="7" borderId="11" xfId="49" applyNumberFormat="1" applyFont="1" applyFill="1" applyBorder="1" applyAlignment="1">
      <alignment vertical="top" wrapText="1"/>
    </xf>
    <xf numFmtId="0" fontId="11" fillId="6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b val="1"/>
        <color rgb="FFA8463D"/>
      </font>
      <fill>
        <patternFill patternType="solid">
          <bgColor rgb="FFF5DDDA"/>
        </patternFill>
      </fill>
    </dxf>
    <dxf>
      <font>
        <b val="1"/>
        <color rgb="FF7B541D"/>
      </font>
      <fill>
        <patternFill patternType="solid">
          <bgColor rgb="FFF8EBCF"/>
        </patternFill>
      </fill>
    </dxf>
    <dxf>
      <font>
        <color rgb="FFA8463D"/>
      </font>
      <fill>
        <patternFill patternType="solid">
          <bgColor rgb="FFF5DDDA"/>
        </patternFill>
      </fill>
    </dxf>
    <dxf>
      <font>
        <color rgb="FF7B541D"/>
      </font>
      <fill>
        <patternFill patternType="solid">
          <bgColor rgb="FFF8EBCF"/>
        </patternFill>
      </fill>
    </dxf>
    <dxf>
      <font>
        <color rgb="FF3F7A58"/>
      </font>
      <fill>
        <patternFill patternType="solid">
          <bgColor rgb="FFDDEED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CategorySummaryTable" displayName="CategorySummaryTable" ref="A8:C21" totalsRowShown="0">
  <tableColumns count="3">
    <tableColumn id="1" name="大类"/>
    <tableColumn id="2" name="缺口素材包"/>
    <tableColumn id="3" name="正式缺口制作单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PhaseSummaryTable" displayName="PhaseSummaryTable" ref="E8:G13" totalsRowShown="0">
  <tableColumns count="3">
    <tableColumn id="1" name="目标阶段"/>
    <tableColumn id="2" name="缺口素材包"/>
    <tableColumn id="3" name="正式缺口制作单元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1" name="ArtGapTable" displayName="ArtGapTable" ref="A6:R98" totalsRowShown="0">
  <tableColumns count="18">
    <tableColumn id="1" name="编号"/>
    <tableColumn id="2" name="目标阶段"/>
    <tableColumn id="3" name="优先级"/>
    <tableColumn id="4" name="大类"/>
    <tableColumn id="5" name="页面/场景"/>
    <tableColumn id="6" name="素材包"/>
    <tableColumn id="7" name="目标数量"/>
    <tableColumn id="8" name="单位"/>
    <tableColumn id="9" name="正式已有"/>
    <tableColumn id="10" name="临时/参考"/>
    <tableColumn id="11" name="正式缺口"/>
    <tableColumn id="12" name="当前状态"/>
    <tableColumn id="13" name="阻塞可演示"/>
    <tableColumn id="14" name="规格建议"/>
    <tableColumn id="15" name="Demo临时方案"/>
    <tableColumn id="16" name="验收重点"/>
    <tableColumn id="17" name="IP/许可要求"/>
    <tableColumn id="18" name="需求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CurrentAssetsTable" displayName="CurrentAssetsTable" ref="A4:I20" totalsRowShown="0">
  <tableColumns count="9">
    <tableColumn id="1" name="类型"/>
    <tableColumn id="2" name="名称"/>
    <tableColumn id="3" name="数量"/>
    <tableColumn id="4" name="当前用途"/>
    <tableColumn id="5" name="可用于Demo"/>
    <tableColumn id="6" name="可作为MVP正式"/>
    <tableColumn id="7" name="本地路径/证据"/>
    <tableColumn id="8" name="许可/风险"/>
    <tableColumn id="9" name="后续动作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3" name="ArtSpecsTable" displayName="ArtSpecsTable" ref="A4:D22" totalsRowShown="0">
  <tableColumns count="4">
    <tableColumn id="1" name="类别"/>
    <tableColumn id="2" name="项目"/>
    <tableColumn id="3" name="当前标准"/>
    <tableColumn id="4" name="说明/验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.xml"/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tabSelected="1" workbookViewId="0">
      <selection activeCell="K8" sqref="K8"/>
    </sheetView>
  </sheetViews>
  <sheetFormatPr defaultColWidth="9" defaultRowHeight="14.25" outlineLevelCol="7"/>
  <cols>
    <col min="1" max="1" width="20" customWidth="1"/>
    <col min="2" max="2" width="16" customWidth="1"/>
    <col min="3" max="3" width="18" customWidth="1"/>
    <col min="4" max="4" width="3" customWidth="1"/>
    <col min="5" max="5" width="20" customWidth="1"/>
    <col min="6" max="6" width="16" customWidth="1"/>
    <col min="7" max="8" width="18" customWidth="1"/>
  </cols>
  <sheetData>
    <row r="1" ht="34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ht="25" customHeight="1" spans="1:8">
      <c r="A2" s="7" t="s">
        <v>1</v>
      </c>
      <c r="B2" s="7"/>
      <c r="C2" s="7"/>
      <c r="D2" s="7"/>
      <c r="E2" s="7"/>
      <c r="F2" s="7"/>
      <c r="G2" s="7"/>
      <c r="H2" s="7"/>
    </row>
    <row r="4" ht="42" customHeight="1" spans="1:8">
      <c r="A4" s="18">
        <f>COUNTA(缺口明细!A7:A98)</f>
        <v>92</v>
      </c>
      <c r="B4" s="18"/>
      <c r="C4" s="18">
        <f>COUNTIF(缺口明细!C7:C98,"P0-立即")</f>
        <v>44</v>
      </c>
      <c r="D4" s="18"/>
      <c r="E4" s="18">
        <f>SUM(缺口明细!K7:K98)</f>
        <v>577</v>
      </c>
      <c r="F4" s="18"/>
      <c r="G4" s="19">
        <f>IFERROR(SUM(缺口明细!I7:I98)/SUM(缺口明细!G7:G98),0)</f>
        <v>0</v>
      </c>
      <c r="H4" s="18"/>
    </row>
    <row r="5" ht="25" customHeight="1" spans="1:8">
      <c r="A5" s="20" t="s">
        <v>2</v>
      </c>
      <c r="B5" s="20"/>
      <c r="C5" s="20" t="s">
        <v>3</v>
      </c>
      <c r="D5" s="20"/>
      <c r="E5" s="20" t="s">
        <v>4</v>
      </c>
      <c r="F5" s="20"/>
      <c r="G5" s="20" t="s">
        <v>5</v>
      </c>
      <c r="H5" s="20"/>
    </row>
    <row r="8" ht="15" spans="1:8">
      <c r="A8" s="21" t="s">
        <v>6</v>
      </c>
      <c r="B8" s="21" t="s">
        <v>2</v>
      </c>
      <c r="C8" s="21" t="s">
        <v>4</v>
      </c>
      <c r="E8" s="22" t="s">
        <v>7</v>
      </c>
      <c r="F8" s="22" t="s">
        <v>2</v>
      </c>
      <c r="G8" s="22" t="s">
        <v>4</v>
      </c>
    </row>
    <row r="9" spans="1:8">
      <c r="A9" t="s">
        <v>8</v>
      </c>
      <c r="B9">
        <f>COUNTIF(缺口明细!D$7:D$98,A9)</f>
        <v>7</v>
      </c>
      <c r="C9">
        <f>SUMIF(缺口明细!D$7:D$98,A9,缺口明细!K$7:K$98)</f>
        <v>19</v>
      </c>
      <c r="E9" t="s">
        <v>9</v>
      </c>
      <c r="F9">
        <f>COUNTIF(缺口明细!B$7:B$98,E9)</f>
        <v>16</v>
      </c>
      <c r="G9">
        <f>SUMIF(缺口明细!B$7:B$98,E9,缺口明细!K$7:K$98)</f>
        <v>57</v>
      </c>
    </row>
    <row r="10" spans="1:8">
      <c r="A10" t="s">
        <v>10</v>
      </c>
      <c r="B10">
        <f>COUNTIF(缺口明细!D$7:D$98,A10)</f>
        <v>4</v>
      </c>
      <c r="C10">
        <f>SUMIF(缺口明细!D$7:D$98,A10,缺口明细!K$7:K$98)</f>
        <v>19</v>
      </c>
      <c r="E10" t="s">
        <v>11</v>
      </c>
      <c r="F10">
        <f>COUNTIF(缺口明细!B$7:B$98,E10)</f>
        <v>53</v>
      </c>
      <c r="G10">
        <f>SUMIF(缺口明细!B$7:B$98,E10,缺口明细!K$7:K$98)</f>
        <v>256</v>
      </c>
    </row>
    <row r="11" spans="1:8">
      <c r="A11" t="s">
        <v>12</v>
      </c>
      <c r="B11">
        <f>COUNTIF(缺口明细!D$7:D$98,A11)</f>
        <v>10</v>
      </c>
      <c r="C11">
        <f>SUMIF(缺口明细!D$7:D$98,A11,缺口明细!K$7:K$98)</f>
        <v>53</v>
      </c>
      <c r="E11" t="s">
        <v>13</v>
      </c>
      <c r="F11">
        <f>COUNTIF(缺口明细!B$7:B$98,E11)</f>
        <v>6</v>
      </c>
      <c r="G11">
        <f>SUMIF(缺口明细!B$7:B$98,E11,缺口明细!K$7:K$98)</f>
        <v>24</v>
      </c>
    </row>
    <row r="12" spans="1:8">
      <c r="A12" t="s">
        <v>14</v>
      </c>
      <c r="B12">
        <f>COUNTIF(缺口明细!D$7:D$98,A12)</f>
        <v>10</v>
      </c>
      <c r="C12">
        <f>SUMIF(缺口明细!D$7:D$98,A12,缺口明细!K$7:K$98)</f>
        <v>72</v>
      </c>
      <c r="E12" t="s">
        <v>15</v>
      </c>
      <c r="F12">
        <f>COUNTIF(缺口明细!B$7:B$98,E12)</f>
        <v>11</v>
      </c>
      <c r="G12">
        <f>SUMIF(缺口明细!B$7:B$98,E12,缺口明细!K$7:K$98)</f>
        <v>117</v>
      </c>
    </row>
    <row r="13" spans="1:8">
      <c r="A13" t="s">
        <v>16</v>
      </c>
      <c r="B13">
        <f>COUNTIF(缺口明细!D$7:D$98,A13)</f>
        <v>7</v>
      </c>
      <c r="C13">
        <f>SUMIF(缺口明细!D$7:D$98,A13,缺口明细!K$7:K$98)</f>
        <v>42</v>
      </c>
      <c r="E13" t="s">
        <v>17</v>
      </c>
      <c r="F13">
        <f>COUNTIF(缺口明细!B$7:B$98,E13)</f>
        <v>6</v>
      </c>
      <c r="G13">
        <f>SUMIF(缺口明细!B$7:B$98,E13,缺口明细!K$7:K$98)</f>
        <v>123</v>
      </c>
    </row>
    <row r="14" spans="1:8">
      <c r="A14" t="s">
        <v>18</v>
      </c>
      <c r="B14">
        <f>COUNTIF(缺口明细!D$7:D$98,A14)</f>
        <v>2</v>
      </c>
      <c r="C14">
        <f>SUMIF(缺口明细!D$7:D$98,A14,缺口明细!K$7:K$98)</f>
        <v>5</v>
      </c>
    </row>
    <row r="15" spans="1:8">
      <c r="A15" t="s">
        <v>19</v>
      </c>
      <c r="B15">
        <f>COUNTIF(缺口明细!D$7:D$98,A15)</f>
        <v>13</v>
      </c>
      <c r="C15">
        <f>SUMIF(缺口明细!D$7:D$98,A15,缺口明细!K$7:K$98)</f>
        <v>31</v>
      </c>
    </row>
    <row r="16" ht="15" spans="1:8">
      <c r="A16" t="s">
        <v>20</v>
      </c>
      <c r="B16">
        <f>COUNTIF(缺口明细!D$7:D$98,A16)</f>
        <v>12</v>
      </c>
      <c r="C16">
        <f>SUMIF(缺口明细!D$7:D$98,A16,缺口明细!K$7:K$98)</f>
        <v>22</v>
      </c>
      <c r="E16" s="22" t="s">
        <v>21</v>
      </c>
      <c r="F16" s="22"/>
      <c r="G16" s="22"/>
      <c r="H16" s="22"/>
    </row>
    <row r="17" ht="25" customHeight="1" spans="1:8">
      <c r="A17" t="s">
        <v>22</v>
      </c>
      <c r="B17">
        <f>COUNTIF(缺口明细!D$7:D$98,A17)</f>
        <v>13</v>
      </c>
      <c r="C17">
        <f>SUMIF(缺口明细!D$7:D$98,A17,缺口明细!K$7:K$98)</f>
        <v>261</v>
      </c>
      <c r="E17" s="23" t="s">
        <v>23</v>
      </c>
      <c r="F17" s="24"/>
      <c r="G17" s="24"/>
      <c r="H17" s="25"/>
    </row>
    <row r="18" ht="25" customHeight="1" spans="1:8">
      <c r="A18" t="s">
        <v>24</v>
      </c>
      <c r="B18">
        <f>COUNTIF(缺口明细!D$7:D$98,A18)</f>
        <v>10</v>
      </c>
      <c r="C18">
        <f>SUMIF(缺口明细!D$7:D$98,A18,缺口明细!K$7:K$98)</f>
        <v>47</v>
      </c>
      <c r="E18" s="26"/>
      <c r="F18" s="27"/>
      <c r="G18" s="27"/>
      <c r="H18" s="28"/>
    </row>
    <row r="19" ht="25" customHeight="1" spans="1:8">
      <c r="A19" t="s">
        <v>25</v>
      </c>
      <c r="B19">
        <f>COUNTIF(缺口明细!D$7:D$98,A19)</f>
        <v>2</v>
      </c>
      <c r="C19">
        <f>SUMIF(缺口明细!D$7:D$98,A19,缺口明细!K$7:K$98)</f>
        <v>2</v>
      </c>
      <c r="E19" s="26"/>
      <c r="F19" s="27"/>
      <c r="G19" s="27"/>
      <c r="H19" s="28"/>
    </row>
    <row r="20" ht="25" customHeight="1" spans="1:8">
      <c r="A20" t="s">
        <v>26</v>
      </c>
      <c r="B20">
        <f>COUNTIF(缺口明细!D$7:D$98,A20)</f>
        <v>1</v>
      </c>
      <c r="C20">
        <f>SUMIF(缺口明细!D$7:D$98,A20,缺口明细!K$7:K$98)</f>
        <v>1</v>
      </c>
      <c r="E20" s="26"/>
      <c r="F20" s="27"/>
      <c r="G20" s="27"/>
      <c r="H20" s="28"/>
    </row>
    <row r="21" ht="25" customHeight="1" spans="1:8">
      <c r="A21" t="s">
        <v>27</v>
      </c>
      <c r="B21">
        <f>COUNTIF(缺口明细!D$7:D$98,A21)</f>
        <v>1</v>
      </c>
      <c r="C21">
        <f>SUMIF(缺口明细!D$7:D$98,A21,缺口明细!K$7:K$98)</f>
        <v>3</v>
      </c>
      <c r="E21" s="26"/>
      <c r="F21" s="27"/>
      <c r="G21" s="27"/>
      <c r="H21" s="28"/>
    </row>
    <row r="22" ht="25" customHeight="1" spans="1:8">
      <c r="E22" s="29"/>
      <c r="F22" s="30"/>
      <c r="G22" s="30"/>
      <c r="H22" s="31"/>
    </row>
    <row r="25" ht="38" customHeight="1" spans="1:8">
      <c r="A25" s="32" t="s">
        <v>28</v>
      </c>
      <c r="B25" s="32"/>
      <c r="C25" s="32"/>
      <c r="D25" s="32"/>
      <c r="E25" s="32"/>
      <c r="F25" s="32"/>
      <c r="G25" s="32"/>
      <c r="H25" s="32"/>
    </row>
  </sheetData>
  <mergeCells count="1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E16:H16"/>
    <mergeCell ref="A25:H25"/>
    <mergeCell ref="E17:H22"/>
  </mergeCells>
  <pageMargins left="0.7" right="0.7" top="0.75" bottom="0.75" header="0.3" footer="0.3"/>
  <headerFooter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"/>
  <sheetViews>
    <sheetView showGridLines="0" workbookViewId="0">
      <selection activeCell="J14" sqref="J14"/>
    </sheetView>
  </sheetViews>
  <sheetFormatPr defaultColWidth="9" defaultRowHeight="14.25"/>
  <cols>
    <col min="1" max="1" width="15" customWidth="1"/>
    <col min="2" max="2" width="13" customWidth="1"/>
    <col min="3" max="3" width="11" customWidth="1"/>
    <col min="4" max="4" width="10" customWidth="1"/>
    <col min="5" max="5" width="17" customWidth="1"/>
    <col min="6" max="6" width="34" customWidth="1"/>
    <col min="7" max="7" width="9" customWidth="1"/>
    <col min="8" max="8" width="7" customWidth="1"/>
    <col min="9" max="9" width="9" customWidth="1"/>
    <col min="10" max="10" width="10" customWidth="1"/>
    <col min="11" max="11" width="9" customWidth="1"/>
    <col min="12" max="12" width="18" customWidth="1"/>
    <col min="13" max="13" width="12" customWidth="1"/>
    <col min="14" max="14" width="38" customWidth="1"/>
    <col min="15" max="15" width="34" customWidth="1"/>
    <col min="16" max="16" width="36" customWidth="1"/>
    <col min="17" max="17" width="28" customWidth="1"/>
    <col min="18" max="18" width="24" customWidth="1"/>
  </cols>
  <sheetData>
    <row r="1" ht="34" customHeight="1" spans="1:18">
      <c r="A1" s="6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25" customHeight="1" spans="1:18">
      <c r="A2" s="7" t="s">
        <v>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ht="16.5" spans="1:18">
      <c r="A4" s="8" t="s">
        <v>31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6" ht="15" spans="1:18">
      <c r="A6" s="9" t="s">
        <v>32</v>
      </c>
      <c r="B6" s="9" t="s">
        <v>7</v>
      </c>
      <c r="C6" s="9" t="s">
        <v>33</v>
      </c>
      <c r="D6" s="9" t="s">
        <v>6</v>
      </c>
      <c r="E6" s="9" t="s">
        <v>34</v>
      </c>
      <c r="F6" s="9" t="s">
        <v>35</v>
      </c>
      <c r="G6" s="9" t="s">
        <v>36</v>
      </c>
      <c r="H6" s="9" t="s">
        <v>37</v>
      </c>
      <c r="I6" s="9" t="s">
        <v>38</v>
      </c>
      <c r="J6" s="9" t="s">
        <v>39</v>
      </c>
      <c r="K6" s="9" t="s">
        <v>40</v>
      </c>
      <c r="L6" s="9" t="s">
        <v>41</v>
      </c>
      <c r="M6" s="9" t="s">
        <v>42</v>
      </c>
      <c r="N6" s="9" t="s">
        <v>43</v>
      </c>
      <c r="O6" s="9" t="s">
        <v>44</v>
      </c>
      <c r="P6" s="9" t="s">
        <v>45</v>
      </c>
      <c r="Q6" s="9" t="s">
        <v>46</v>
      </c>
      <c r="R6" s="9" t="s">
        <v>47</v>
      </c>
    </row>
    <row r="7" ht="43" customHeight="1" spans="1:18">
      <c r="A7" s="10" t="s">
        <v>48</v>
      </c>
      <c r="B7" s="10" t="s">
        <v>11</v>
      </c>
      <c r="C7" s="10" t="s">
        <v>49</v>
      </c>
      <c r="D7" s="10" t="s">
        <v>8</v>
      </c>
      <c r="E7" s="11" t="s">
        <v>50</v>
      </c>
      <c r="F7" s="11" t="s">
        <v>51</v>
      </c>
      <c r="G7" s="12">
        <v>1</v>
      </c>
      <c r="H7" s="12" t="s">
        <v>52</v>
      </c>
      <c r="I7" s="12">
        <v>0</v>
      </c>
      <c r="J7" s="12">
        <v>3</v>
      </c>
      <c r="K7" s="12">
        <f t="shared" ref="K7:K70" si="0">IF(G7&gt;I7,G7-I7,0)</f>
        <v>1</v>
      </c>
      <c r="L7" s="13" t="str">
        <f t="shared" ref="L7:L70" si="1">IF(I7&gt;=G7,"正式可用",IF(J7&gt;0,"有临时素材/仍需替换","完全缺失"))</f>
        <v>有临时素材/仍需替换</v>
      </c>
      <c r="M7" s="13" t="s">
        <v>53</v>
      </c>
      <c r="N7" s="11" t="s">
        <v>54</v>
      </c>
      <c r="O7" s="11" t="s">
        <v>55</v>
      </c>
      <c r="P7" s="11" t="s">
        <v>56</v>
      </c>
      <c r="Q7" s="11" t="s">
        <v>57</v>
      </c>
      <c r="R7" s="11" t="s">
        <v>58</v>
      </c>
    </row>
    <row r="8" ht="43" customHeight="1" spans="1:18">
      <c r="A8" s="10" t="s">
        <v>59</v>
      </c>
      <c r="B8" s="10" t="s">
        <v>11</v>
      </c>
      <c r="C8" s="10" t="s">
        <v>49</v>
      </c>
      <c r="D8" s="10" t="s">
        <v>8</v>
      </c>
      <c r="E8" s="11" t="s">
        <v>50</v>
      </c>
      <c r="F8" s="11" t="s">
        <v>60</v>
      </c>
      <c r="G8" s="12">
        <v>1</v>
      </c>
      <c r="H8" s="12" t="s">
        <v>52</v>
      </c>
      <c r="I8" s="12">
        <v>0</v>
      </c>
      <c r="J8" s="12">
        <v>1</v>
      </c>
      <c r="K8" s="12">
        <f t="shared" si="0"/>
        <v>1</v>
      </c>
      <c r="L8" s="13" t="str">
        <f t="shared" si="1"/>
        <v>有临时素材/仍需替换</v>
      </c>
      <c r="M8" s="13" t="s">
        <v>53</v>
      </c>
      <c r="N8" s="11" t="s">
        <v>61</v>
      </c>
      <c r="O8" s="11" t="s">
        <v>62</v>
      </c>
      <c r="P8" s="11" t="s">
        <v>63</v>
      </c>
      <c r="Q8" s="11" t="s">
        <v>64</v>
      </c>
      <c r="R8" s="11" t="s">
        <v>65</v>
      </c>
    </row>
    <row r="9" ht="43" customHeight="1" spans="1:18">
      <c r="A9" s="10" t="s">
        <v>66</v>
      </c>
      <c r="B9" s="10" t="s">
        <v>11</v>
      </c>
      <c r="C9" s="10" t="s">
        <v>67</v>
      </c>
      <c r="D9" s="10" t="s">
        <v>8</v>
      </c>
      <c r="E9" s="11" t="s">
        <v>50</v>
      </c>
      <c r="F9" s="11" t="s">
        <v>68</v>
      </c>
      <c r="G9" s="12">
        <v>1</v>
      </c>
      <c r="H9" s="12" t="s">
        <v>52</v>
      </c>
      <c r="I9" s="12">
        <v>0</v>
      </c>
      <c r="J9" s="12">
        <v>0</v>
      </c>
      <c r="K9" s="12">
        <f t="shared" si="0"/>
        <v>1</v>
      </c>
      <c r="L9" s="13" t="str">
        <f t="shared" si="1"/>
        <v>完全缺失</v>
      </c>
      <c r="M9" s="13" t="s">
        <v>69</v>
      </c>
      <c r="N9" s="11" t="s">
        <v>70</v>
      </c>
      <c r="O9" s="11" t="s">
        <v>71</v>
      </c>
      <c r="P9" s="11" t="s">
        <v>72</v>
      </c>
      <c r="Q9" s="11" t="s">
        <v>73</v>
      </c>
      <c r="R9" s="11" t="s">
        <v>74</v>
      </c>
    </row>
    <row r="10" ht="43" customHeight="1" spans="1:18">
      <c r="A10" s="10" t="s">
        <v>75</v>
      </c>
      <c r="B10" s="10" t="s">
        <v>11</v>
      </c>
      <c r="C10" s="10" t="s">
        <v>49</v>
      </c>
      <c r="D10" s="10" t="s">
        <v>10</v>
      </c>
      <c r="E10" s="11" t="s">
        <v>50</v>
      </c>
      <c r="F10" s="11" t="s">
        <v>76</v>
      </c>
      <c r="G10" s="12">
        <v>7</v>
      </c>
      <c r="H10" s="12" t="s">
        <v>77</v>
      </c>
      <c r="I10" s="12">
        <v>0</v>
      </c>
      <c r="J10" s="12">
        <v>7</v>
      </c>
      <c r="K10" s="12">
        <f t="shared" si="0"/>
        <v>7</v>
      </c>
      <c r="L10" s="13" t="str">
        <f t="shared" si="1"/>
        <v>有临时素材/仍需替换</v>
      </c>
      <c r="M10" s="13" t="s">
        <v>53</v>
      </c>
      <c r="N10" s="11" t="s">
        <v>78</v>
      </c>
      <c r="O10" s="11" t="s">
        <v>79</v>
      </c>
      <c r="P10" s="11" t="s">
        <v>80</v>
      </c>
      <c r="Q10" s="11" t="s">
        <v>81</v>
      </c>
      <c r="R10" s="11" t="s">
        <v>82</v>
      </c>
    </row>
    <row r="11" ht="43" customHeight="1" spans="1:18">
      <c r="A11" s="10" t="s">
        <v>83</v>
      </c>
      <c r="B11" s="10" t="s">
        <v>11</v>
      </c>
      <c r="C11" s="10" t="s">
        <v>49</v>
      </c>
      <c r="D11" s="10" t="s">
        <v>10</v>
      </c>
      <c r="E11" s="11" t="s">
        <v>50</v>
      </c>
      <c r="F11" s="11" t="s">
        <v>84</v>
      </c>
      <c r="G11" s="12">
        <v>7</v>
      </c>
      <c r="H11" s="12" t="s">
        <v>77</v>
      </c>
      <c r="I11" s="12">
        <v>0</v>
      </c>
      <c r="J11" s="12">
        <v>7</v>
      </c>
      <c r="K11" s="12">
        <f t="shared" si="0"/>
        <v>7</v>
      </c>
      <c r="L11" s="13" t="str">
        <f t="shared" si="1"/>
        <v>有临时素材/仍需替换</v>
      </c>
      <c r="M11" s="13" t="s">
        <v>53</v>
      </c>
      <c r="N11" s="11" t="s">
        <v>85</v>
      </c>
      <c r="O11" s="11" t="s">
        <v>86</v>
      </c>
      <c r="P11" s="11" t="s">
        <v>87</v>
      </c>
      <c r="Q11" s="11" t="s">
        <v>73</v>
      </c>
      <c r="R11" s="11" t="s">
        <v>88</v>
      </c>
    </row>
    <row r="12" ht="43" customHeight="1" spans="1:18">
      <c r="A12" s="10" t="s">
        <v>89</v>
      </c>
      <c r="B12" s="10" t="s">
        <v>11</v>
      </c>
      <c r="C12" s="10" t="s">
        <v>49</v>
      </c>
      <c r="D12" s="10" t="s">
        <v>10</v>
      </c>
      <c r="E12" s="11" t="s">
        <v>50</v>
      </c>
      <c r="F12" s="11" t="s">
        <v>90</v>
      </c>
      <c r="G12" s="12">
        <v>1</v>
      </c>
      <c r="H12" s="12" t="s">
        <v>77</v>
      </c>
      <c r="I12" s="12">
        <v>0</v>
      </c>
      <c r="J12" s="12">
        <v>1</v>
      </c>
      <c r="K12" s="12">
        <f t="shared" si="0"/>
        <v>1</v>
      </c>
      <c r="L12" s="13" t="str">
        <f t="shared" si="1"/>
        <v>有临时素材/仍需替换</v>
      </c>
      <c r="M12" s="13" t="s">
        <v>91</v>
      </c>
      <c r="N12" s="11" t="s">
        <v>92</v>
      </c>
      <c r="O12" s="11" t="s">
        <v>93</v>
      </c>
      <c r="P12" s="11" t="s">
        <v>94</v>
      </c>
      <c r="Q12" s="11" t="s">
        <v>95</v>
      </c>
      <c r="R12" s="11" t="s">
        <v>96</v>
      </c>
    </row>
    <row r="13" ht="43" customHeight="1" spans="1:18">
      <c r="A13" s="10" t="s">
        <v>97</v>
      </c>
      <c r="B13" s="10" t="s">
        <v>11</v>
      </c>
      <c r="C13" s="10" t="s">
        <v>67</v>
      </c>
      <c r="D13" s="10" t="s">
        <v>10</v>
      </c>
      <c r="E13" s="11" t="s">
        <v>50</v>
      </c>
      <c r="F13" s="11" t="s">
        <v>98</v>
      </c>
      <c r="G13" s="12">
        <v>4</v>
      </c>
      <c r="H13" s="12" t="s">
        <v>99</v>
      </c>
      <c r="I13" s="12">
        <v>0</v>
      </c>
      <c r="J13" s="12">
        <v>4</v>
      </c>
      <c r="K13" s="12">
        <f t="shared" si="0"/>
        <v>4</v>
      </c>
      <c r="L13" s="13" t="str">
        <f t="shared" si="1"/>
        <v>有临时素材/仍需替换</v>
      </c>
      <c r="M13" s="13" t="s">
        <v>69</v>
      </c>
      <c r="N13" s="11" t="s">
        <v>100</v>
      </c>
      <c r="O13" s="11" t="s">
        <v>101</v>
      </c>
      <c r="P13" s="11" t="s">
        <v>102</v>
      </c>
      <c r="Q13" s="11" t="s">
        <v>73</v>
      </c>
      <c r="R13" s="11" t="s">
        <v>58</v>
      </c>
    </row>
    <row r="14" ht="43" customHeight="1" spans="1:18">
      <c r="A14" s="10" t="s">
        <v>103</v>
      </c>
      <c r="B14" s="10" t="s">
        <v>11</v>
      </c>
      <c r="C14" s="10" t="s">
        <v>67</v>
      </c>
      <c r="D14" s="10" t="s">
        <v>8</v>
      </c>
      <c r="E14" s="11" t="s">
        <v>50</v>
      </c>
      <c r="F14" s="11" t="s">
        <v>104</v>
      </c>
      <c r="G14" s="12">
        <v>1</v>
      </c>
      <c r="H14" s="12" t="s">
        <v>52</v>
      </c>
      <c r="I14" s="12">
        <v>0</v>
      </c>
      <c r="J14" s="12">
        <v>0</v>
      </c>
      <c r="K14" s="12">
        <f t="shared" si="0"/>
        <v>1</v>
      </c>
      <c r="L14" s="13" t="str">
        <f t="shared" si="1"/>
        <v>完全缺失</v>
      </c>
      <c r="M14" s="13" t="s">
        <v>69</v>
      </c>
      <c r="N14" s="11" t="s">
        <v>105</v>
      </c>
      <c r="O14" s="11" t="s">
        <v>106</v>
      </c>
      <c r="P14" s="11" t="s">
        <v>107</v>
      </c>
      <c r="Q14" s="11" t="s">
        <v>73</v>
      </c>
      <c r="R14" s="11" t="s">
        <v>74</v>
      </c>
    </row>
    <row r="15" ht="43" customHeight="1" spans="1:18">
      <c r="A15" s="10" t="s">
        <v>108</v>
      </c>
      <c r="B15" s="10" t="s">
        <v>11</v>
      </c>
      <c r="C15" s="10" t="s">
        <v>67</v>
      </c>
      <c r="D15" s="10" t="s">
        <v>12</v>
      </c>
      <c r="E15" s="11" t="s">
        <v>50</v>
      </c>
      <c r="F15" s="11" t="s">
        <v>109</v>
      </c>
      <c r="G15" s="12">
        <v>3</v>
      </c>
      <c r="H15" s="12" t="s">
        <v>110</v>
      </c>
      <c r="I15" s="12">
        <v>0</v>
      </c>
      <c r="J15" s="12">
        <v>0</v>
      </c>
      <c r="K15" s="12">
        <f t="shared" si="0"/>
        <v>3</v>
      </c>
      <c r="L15" s="13" t="str">
        <f t="shared" si="1"/>
        <v>完全缺失</v>
      </c>
      <c r="M15" s="13" t="s">
        <v>69</v>
      </c>
      <c r="N15" s="11" t="s">
        <v>111</v>
      </c>
      <c r="O15" s="11" t="s">
        <v>112</v>
      </c>
      <c r="P15" s="11" t="s">
        <v>113</v>
      </c>
      <c r="Q15" s="11" t="s">
        <v>114</v>
      </c>
      <c r="R15" s="11" t="s">
        <v>115</v>
      </c>
    </row>
    <row r="16" ht="43" customHeight="1" spans="1:18">
      <c r="A16" s="10" t="s">
        <v>116</v>
      </c>
      <c r="B16" s="10" t="s">
        <v>9</v>
      </c>
      <c r="C16" s="10" t="s">
        <v>49</v>
      </c>
      <c r="D16" s="10" t="s">
        <v>12</v>
      </c>
      <c r="E16" s="11" t="s">
        <v>117</v>
      </c>
      <c r="F16" s="11" t="s">
        <v>118</v>
      </c>
      <c r="G16" s="12">
        <v>1</v>
      </c>
      <c r="H16" s="12" t="s">
        <v>119</v>
      </c>
      <c r="I16" s="12">
        <v>0</v>
      </c>
      <c r="J16" s="12">
        <v>1</v>
      </c>
      <c r="K16" s="12">
        <f t="shared" si="0"/>
        <v>1</v>
      </c>
      <c r="L16" s="13" t="str">
        <f t="shared" si="1"/>
        <v>有临时素材/仍需替换</v>
      </c>
      <c r="M16" s="13" t="s">
        <v>53</v>
      </c>
      <c r="N16" s="11" t="s">
        <v>120</v>
      </c>
      <c r="O16" s="11" t="s">
        <v>121</v>
      </c>
      <c r="P16" s="11" t="s">
        <v>122</v>
      </c>
      <c r="Q16" s="11" t="s">
        <v>123</v>
      </c>
      <c r="R16" s="11" t="s">
        <v>124</v>
      </c>
    </row>
    <row r="17" ht="43" customHeight="1" spans="1:18">
      <c r="A17" s="10" t="s">
        <v>125</v>
      </c>
      <c r="B17" s="10" t="s">
        <v>11</v>
      </c>
      <c r="C17" s="10" t="s">
        <v>67</v>
      </c>
      <c r="D17" s="10" t="s">
        <v>12</v>
      </c>
      <c r="E17" s="11" t="s">
        <v>117</v>
      </c>
      <c r="F17" s="11" t="s">
        <v>126</v>
      </c>
      <c r="G17" s="12">
        <v>3</v>
      </c>
      <c r="H17" s="12" t="s">
        <v>127</v>
      </c>
      <c r="I17" s="12">
        <v>0</v>
      </c>
      <c r="J17" s="12">
        <v>0</v>
      </c>
      <c r="K17" s="12">
        <f t="shared" si="0"/>
        <v>3</v>
      </c>
      <c r="L17" s="13" t="str">
        <f t="shared" si="1"/>
        <v>完全缺失</v>
      </c>
      <c r="M17" s="13" t="s">
        <v>69</v>
      </c>
      <c r="N17" s="11" t="s">
        <v>128</v>
      </c>
      <c r="O17" s="11" t="s">
        <v>129</v>
      </c>
      <c r="P17" s="11" t="s">
        <v>130</v>
      </c>
      <c r="Q17" s="11" t="s">
        <v>131</v>
      </c>
      <c r="R17" s="11" t="s">
        <v>132</v>
      </c>
    </row>
    <row r="18" ht="43" customHeight="1" spans="1:18">
      <c r="A18" s="10" t="s">
        <v>133</v>
      </c>
      <c r="B18" s="10" t="s">
        <v>11</v>
      </c>
      <c r="C18" s="10" t="s">
        <v>67</v>
      </c>
      <c r="D18" s="10" t="s">
        <v>14</v>
      </c>
      <c r="E18" s="11" t="s">
        <v>50</v>
      </c>
      <c r="F18" s="11" t="s">
        <v>134</v>
      </c>
      <c r="G18" s="12">
        <v>1</v>
      </c>
      <c r="H18" s="12" t="s">
        <v>52</v>
      </c>
      <c r="I18" s="12">
        <v>0</v>
      </c>
      <c r="J18" s="12">
        <v>0</v>
      </c>
      <c r="K18" s="12">
        <f t="shared" si="0"/>
        <v>1</v>
      </c>
      <c r="L18" s="13" t="str">
        <f t="shared" si="1"/>
        <v>完全缺失</v>
      </c>
      <c r="M18" s="13" t="s">
        <v>69</v>
      </c>
      <c r="N18" s="11" t="s">
        <v>135</v>
      </c>
      <c r="O18" s="11" t="s">
        <v>136</v>
      </c>
      <c r="P18" s="11" t="s">
        <v>137</v>
      </c>
      <c r="Q18" s="11" t="s">
        <v>138</v>
      </c>
      <c r="R18" s="11" t="s">
        <v>139</v>
      </c>
    </row>
    <row r="19" ht="43" customHeight="1" spans="1:18">
      <c r="A19" s="10" t="s">
        <v>140</v>
      </c>
      <c r="B19" s="10" t="s">
        <v>9</v>
      </c>
      <c r="C19" s="10" t="s">
        <v>49</v>
      </c>
      <c r="D19" s="10" t="s">
        <v>20</v>
      </c>
      <c r="E19" s="11" t="s">
        <v>141</v>
      </c>
      <c r="F19" s="11" t="s">
        <v>142</v>
      </c>
      <c r="G19" s="12">
        <v>1</v>
      </c>
      <c r="H19" s="12" t="s">
        <v>52</v>
      </c>
      <c r="I19" s="12">
        <v>0</v>
      </c>
      <c r="J19" s="12">
        <v>6</v>
      </c>
      <c r="K19" s="12">
        <f t="shared" si="0"/>
        <v>1</v>
      </c>
      <c r="L19" s="13" t="str">
        <f t="shared" si="1"/>
        <v>有临时素材/仍需替换</v>
      </c>
      <c r="M19" s="13" t="s">
        <v>91</v>
      </c>
      <c r="N19" s="11" t="s">
        <v>143</v>
      </c>
      <c r="O19" s="11" t="s">
        <v>144</v>
      </c>
      <c r="P19" s="11" t="s">
        <v>145</v>
      </c>
      <c r="Q19" s="11" t="s">
        <v>146</v>
      </c>
      <c r="R19" s="11" t="s">
        <v>147</v>
      </c>
    </row>
    <row r="20" ht="43" customHeight="1" spans="1:18">
      <c r="A20" s="10" t="s">
        <v>148</v>
      </c>
      <c r="B20" s="10" t="s">
        <v>9</v>
      </c>
      <c r="C20" s="10" t="s">
        <v>49</v>
      </c>
      <c r="D20" s="10" t="s">
        <v>22</v>
      </c>
      <c r="E20" s="11" t="s">
        <v>149</v>
      </c>
      <c r="F20" s="11" t="s">
        <v>150</v>
      </c>
      <c r="G20" s="12">
        <v>7</v>
      </c>
      <c r="H20" s="12" t="s">
        <v>119</v>
      </c>
      <c r="I20" s="12">
        <v>0</v>
      </c>
      <c r="J20" s="12">
        <v>0</v>
      </c>
      <c r="K20" s="12">
        <f t="shared" si="0"/>
        <v>7</v>
      </c>
      <c r="L20" s="13" t="str">
        <f t="shared" si="1"/>
        <v>完全缺失</v>
      </c>
      <c r="M20" s="13" t="s">
        <v>91</v>
      </c>
      <c r="N20" s="11" t="s">
        <v>151</v>
      </c>
      <c r="O20" s="11" t="s">
        <v>152</v>
      </c>
      <c r="P20" s="11" t="s">
        <v>153</v>
      </c>
      <c r="Q20" s="11" t="s">
        <v>154</v>
      </c>
      <c r="R20" s="11" t="s">
        <v>155</v>
      </c>
    </row>
    <row r="21" ht="43" customHeight="1" spans="1:18">
      <c r="A21" s="10" t="s">
        <v>156</v>
      </c>
      <c r="B21" s="10" t="s">
        <v>11</v>
      </c>
      <c r="C21" s="10" t="s">
        <v>49</v>
      </c>
      <c r="D21" s="10" t="s">
        <v>22</v>
      </c>
      <c r="E21" s="11" t="s">
        <v>157</v>
      </c>
      <c r="F21" s="11" t="s">
        <v>158</v>
      </c>
      <c r="G21" s="12">
        <v>7</v>
      </c>
      <c r="H21" s="12" t="s">
        <v>119</v>
      </c>
      <c r="I21" s="12">
        <v>0</v>
      </c>
      <c r="J21" s="12">
        <v>0</v>
      </c>
      <c r="K21" s="12">
        <f t="shared" si="0"/>
        <v>7</v>
      </c>
      <c r="L21" s="13" t="str">
        <f t="shared" si="1"/>
        <v>完全缺失</v>
      </c>
      <c r="M21" s="13" t="s">
        <v>91</v>
      </c>
      <c r="N21" s="11" t="s">
        <v>159</v>
      </c>
      <c r="O21" s="11" t="s">
        <v>160</v>
      </c>
      <c r="P21" s="11" t="s">
        <v>161</v>
      </c>
      <c r="Q21" s="11" t="s">
        <v>73</v>
      </c>
      <c r="R21" s="11" t="s">
        <v>162</v>
      </c>
    </row>
    <row r="22" ht="43" customHeight="1" spans="1:18">
      <c r="A22" s="10" t="s">
        <v>163</v>
      </c>
      <c r="B22" s="10" t="s">
        <v>11</v>
      </c>
      <c r="C22" s="10" t="s">
        <v>67</v>
      </c>
      <c r="D22" s="10" t="s">
        <v>20</v>
      </c>
      <c r="E22" s="11" t="s">
        <v>164</v>
      </c>
      <c r="F22" s="11" t="s">
        <v>165</v>
      </c>
      <c r="G22" s="12">
        <v>7</v>
      </c>
      <c r="H22" s="12" t="s">
        <v>119</v>
      </c>
      <c r="I22" s="12">
        <v>0</v>
      </c>
      <c r="J22" s="12">
        <v>0</v>
      </c>
      <c r="K22" s="12">
        <f t="shared" si="0"/>
        <v>7</v>
      </c>
      <c r="L22" s="13" t="str">
        <f t="shared" si="1"/>
        <v>完全缺失</v>
      </c>
      <c r="M22" s="13" t="s">
        <v>53</v>
      </c>
      <c r="N22" s="11" t="s">
        <v>166</v>
      </c>
      <c r="O22" s="11" t="s">
        <v>167</v>
      </c>
      <c r="P22" s="11" t="s">
        <v>168</v>
      </c>
      <c r="Q22" s="11" t="s">
        <v>73</v>
      </c>
      <c r="R22" s="11" t="s">
        <v>169</v>
      </c>
    </row>
    <row r="23" ht="43" customHeight="1" spans="1:18">
      <c r="A23" s="10" t="s">
        <v>170</v>
      </c>
      <c r="B23" s="10" t="s">
        <v>11</v>
      </c>
      <c r="C23" s="10" t="s">
        <v>67</v>
      </c>
      <c r="D23" s="10" t="s">
        <v>20</v>
      </c>
      <c r="E23" s="11" t="s">
        <v>171</v>
      </c>
      <c r="F23" s="11" t="s">
        <v>172</v>
      </c>
      <c r="G23" s="12">
        <v>5</v>
      </c>
      <c r="H23" s="12" t="s">
        <v>119</v>
      </c>
      <c r="I23" s="12">
        <v>0</v>
      </c>
      <c r="J23" s="12">
        <v>0</v>
      </c>
      <c r="K23" s="12">
        <f t="shared" si="0"/>
        <v>5</v>
      </c>
      <c r="L23" s="13" t="str">
        <f t="shared" si="1"/>
        <v>完全缺失</v>
      </c>
      <c r="M23" s="13" t="s">
        <v>53</v>
      </c>
      <c r="N23" s="11" t="s">
        <v>173</v>
      </c>
      <c r="O23" s="11" t="s">
        <v>174</v>
      </c>
      <c r="P23" s="11" t="s">
        <v>175</v>
      </c>
      <c r="Q23" s="11" t="s">
        <v>73</v>
      </c>
      <c r="R23" s="11" t="s">
        <v>176</v>
      </c>
    </row>
    <row r="24" ht="43" customHeight="1" spans="1:18">
      <c r="A24" s="10" t="s">
        <v>177</v>
      </c>
      <c r="B24" s="10" t="s">
        <v>9</v>
      </c>
      <c r="C24" s="10" t="s">
        <v>49</v>
      </c>
      <c r="D24" s="10" t="s">
        <v>22</v>
      </c>
      <c r="E24" s="11" t="s">
        <v>178</v>
      </c>
      <c r="F24" s="11" t="s">
        <v>179</v>
      </c>
      <c r="G24" s="12">
        <v>5</v>
      </c>
      <c r="H24" s="12" t="s">
        <v>119</v>
      </c>
      <c r="I24" s="12">
        <v>0</v>
      </c>
      <c r="J24" s="12">
        <v>5</v>
      </c>
      <c r="K24" s="12">
        <f t="shared" si="0"/>
        <v>5</v>
      </c>
      <c r="L24" s="13" t="str">
        <f t="shared" si="1"/>
        <v>有临时素材/仍需替换</v>
      </c>
      <c r="M24" s="13" t="s">
        <v>53</v>
      </c>
      <c r="N24" s="11" t="s">
        <v>180</v>
      </c>
      <c r="O24" s="11" t="s">
        <v>181</v>
      </c>
      <c r="P24" s="11" t="s">
        <v>182</v>
      </c>
      <c r="Q24" s="11" t="s">
        <v>183</v>
      </c>
      <c r="R24" s="11" t="s">
        <v>184</v>
      </c>
    </row>
    <row r="25" ht="43" customHeight="1" spans="1:18">
      <c r="A25" s="10" t="s">
        <v>185</v>
      </c>
      <c r="B25" s="10" t="s">
        <v>9</v>
      </c>
      <c r="C25" s="10" t="s">
        <v>49</v>
      </c>
      <c r="D25" s="10" t="s">
        <v>22</v>
      </c>
      <c r="E25" s="11" t="s">
        <v>186</v>
      </c>
      <c r="F25" s="11" t="s">
        <v>187</v>
      </c>
      <c r="G25" s="12">
        <v>16</v>
      </c>
      <c r="H25" s="12" t="s">
        <v>119</v>
      </c>
      <c r="I25" s="12">
        <v>0</v>
      </c>
      <c r="J25" s="12">
        <v>0</v>
      </c>
      <c r="K25" s="12">
        <f t="shared" si="0"/>
        <v>16</v>
      </c>
      <c r="L25" s="13" t="str">
        <f t="shared" si="1"/>
        <v>完全缺失</v>
      </c>
      <c r="M25" s="13" t="s">
        <v>91</v>
      </c>
      <c r="N25" s="11" t="s">
        <v>188</v>
      </c>
      <c r="O25" s="11" t="s">
        <v>189</v>
      </c>
      <c r="P25" s="11" t="s">
        <v>190</v>
      </c>
      <c r="Q25" s="11" t="s">
        <v>191</v>
      </c>
      <c r="R25" s="11" t="s">
        <v>192</v>
      </c>
    </row>
    <row r="26" ht="43" customHeight="1" spans="1:18">
      <c r="A26" s="10" t="s">
        <v>193</v>
      </c>
      <c r="B26" s="10" t="s">
        <v>11</v>
      </c>
      <c r="C26" s="10" t="s">
        <v>49</v>
      </c>
      <c r="D26" s="10" t="s">
        <v>22</v>
      </c>
      <c r="E26" s="11" t="s">
        <v>194</v>
      </c>
      <c r="F26" s="11" t="s">
        <v>195</v>
      </c>
      <c r="G26" s="12">
        <v>16</v>
      </c>
      <c r="H26" s="12" t="s">
        <v>119</v>
      </c>
      <c r="I26" s="12">
        <v>0</v>
      </c>
      <c r="J26" s="12">
        <v>0</v>
      </c>
      <c r="K26" s="12">
        <f t="shared" si="0"/>
        <v>16</v>
      </c>
      <c r="L26" s="13" t="str">
        <f t="shared" si="1"/>
        <v>完全缺失</v>
      </c>
      <c r="M26" s="13" t="s">
        <v>91</v>
      </c>
      <c r="N26" s="11" t="s">
        <v>196</v>
      </c>
      <c r="O26" s="11" t="s">
        <v>197</v>
      </c>
      <c r="P26" s="11" t="s">
        <v>198</v>
      </c>
      <c r="Q26" s="11" t="s">
        <v>199</v>
      </c>
      <c r="R26" s="11" t="s">
        <v>200</v>
      </c>
    </row>
    <row r="27" ht="43" customHeight="1" spans="1:18">
      <c r="A27" s="10" t="s">
        <v>201</v>
      </c>
      <c r="B27" s="10" t="s">
        <v>11</v>
      </c>
      <c r="C27" s="10" t="s">
        <v>49</v>
      </c>
      <c r="D27" s="10" t="s">
        <v>22</v>
      </c>
      <c r="E27" s="11" t="s">
        <v>202</v>
      </c>
      <c r="F27" s="11" t="s">
        <v>203</v>
      </c>
      <c r="G27" s="12">
        <v>20</v>
      </c>
      <c r="H27" s="12" t="s">
        <v>119</v>
      </c>
      <c r="I27" s="12">
        <v>0</v>
      </c>
      <c r="J27" s="12">
        <v>0</v>
      </c>
      <c r="K27" s="12">
        <f t="shared" si="0"/>
        <v>20</v>
      </c>
      <c r="L27" s="13" t="str">
        <f t="shared" si="1"/>
        <v>完全缺失</v>
      </c>
      <c r="M27" s="13" t="s">
        <v>91</v>
      </c>
      <c r="N27" s="11" t="s">
        <v>204</v>
      </c>
      <c r="O27" s="11" t="s">
        <v>205</v>
      </c>
      <c r="P27" s="11" t="s">
        <v>206</v>
      </c>
      <c r="Q27" s="11" t="s">
        <v>207</v>
      </c>
      <c r="R27" s="11" t="s">
        <v>208</v>
      </c>
    </row>
    <row r="28" ht="43" customHeight="1" spans="1:18">
      <c r="A28" s="10" t="s">
        <v>209</v>
      </c>
      <c r="B28" s="10" t="s">
        <v>11</v>
      </c>
      <c r="C28" s="10" t="s">
        <v>67</v>
      </c>
      <c r="D28" s="10" t="s">
        <v>22</v>
      </c>
      <c r="E28" s="11" t="s">
        <v>210</v>
      </c>
      <c r="F28" s="11" t="s">
        <v>211</v>
      </c>
      <c r="G28" s="12">
        <v>12</v>
      </c>
      <c r="H28" s="12" t="s">
        <v>119</v>
      </c>
      <c r="I28" s="12">
        <v>0</v>
      </c>
      <c r="J28" s="12">
        <v>0</v>
      </c>
      <c r="K28" s="12">
        <f t="shared" si="0"/>
        <v>12</v>
      </c>
      <c r="L28" s="13" t="str">
        <f t="shared" si="1"/>
        <v>完全缺失</v>
      </c>
      <c r="M28" s="13" t="s">
        <v>53</v>
      </c>
      <c r="N28" s="11" t="s">
        <v>212</v>
      </c>
      <c r="O28" s="11" t="s">
        <v>213</v>
      </c>
      <c r="P28" s="11" t="s">
        <v>214</v>
      </c>
      <c r="Q28" s="11" t="s">
        <v>73</v>
      </c>
      <c r="R28" s="11" t="s">
        <v>215</v>
      </c>
    </row>
    <row r="29" ht="43" customHeight="1" spans="1:18">
      <c r="A29" s="10" t="s">
        <v>216</v>
      </c>
      <c r="B29" s="10" t="s">
        <v>11</v>
      </c>
      <c r="C29" s="10" t="s">
        <v>49</v>
      </c>
      <c r="D29" s="10" t="s">
        <v>22</v>
      </c>
      <c r="E29" s="11" t="s">
        <v>217</v>
      </c>
      <c r="F29" s="11" t="s">
        <v>218</v>
      </c>
      <c r="G29" s="12">
        <v>16</v>
      </c>
      <c r="H29" s="12" t="s">
        <v>119</v>
      </c>
      <c r="I29" s="12">
        <v>0</v>
      </c>
      <c r="J29" s="12">
        <v>0</v>
      </c>
      <c r="K29" s="12">
        <f t="shared" si="0"/>
        <v>16</v>
      </c>
      <c r="L29" s="13" t="str">
        <f t="shared" si="1"/>
        <v>完全缺失</v>
      </c>
      <c r="M29" s="13" t="s">
        <v>91</v>
      </c>
      <c r="N29" s="11" t="s">
        <v>219</v>
      </c>
      <c r="O29" s="11" t="s">
        <v>220</v>
      </c>
      <c r="P29" s="11" t="s">
        <v>221</v>
      </c>
      <c r="Q29" s="11" t="s">
        <v>73</v>
      </c>
      <c r="R29" s="11" t="s">
        <v>222</v>
      </c>
    </row>
    <row r="30" ht="43" customHeight="1" spans="1:18">
      <c r="A30" s="10" t="s">
        <v>223</v>
      </c>
      <c r="B30" s="10" t="s">
        <v>11</v>
      </c>
      <c r="C30" s="10" t="s">
        <v>49</v>
      </c>
      <c r="D30" s="10" t="s">
        <v>22</v>
      </c>
      <c r="E30" s="11" t="s">
        <v>224</v>
      </c>
      <c r="F30" s="11" t="s">
        <v>225</v>
      </c>
      <c r="G30" s="12">
        <v>3</v>
      </c>
      <c r="H30" s="12" t="s">
        <v>119</v>
      </c>
      <c r="I30" s="12">
        <v>0</v>
      </c>
      <c r="J30" s="12">
        <v>0</v>
      </c>
      <c r="K30" s="12">
        <f t="shared" si="0"/>
        <v>3</v>
      </c>
      <c r="L30" s="13" t="str">
        <f t="shared" si="1"/>
        <v>完全缺失</v>
      </c>
      <c r="M30" s="13" t="s">
        <v>91</v>
      </c>
      <c r="N30" s="11" t="s">
        <v>226</v>
      </c>
      <c r="O30" s="11" t="s">
        <v>227</v>
      </c>
      <c r="P30" s="11" t="s">
        <v>228</v>
      </c>
      <c r="Q30" s="11" t="s">
        <v>73</v>
      </c>
      <c r="R30" s="11" t="s">
        <v>229</v>
      </c>
    </row>
    <row r="31" ht="43" customHeight="1" spans="1:18">
      <c r="A31" s="10" t="s">
        <v>230</v>
      </c>
      <c r="B31" s="10" t="s">
        <v>9</v>
      </c>
      <c r="C31" s="10" t="s">
        <v>49</v>
      </c>
      <c r="D31" s="10" t="s">
        <v>22</v>
      </c>
      <c r="E31" s="11" t="s">
        <v>231</v>
      </c>
      <c r="F31" s="11" t="s">
        <v>232</v>
      </c>
      <c r="G31" s="12">
        <v>3</v>
      </c>
      <c r="H31" s="12" t="s">
        <v>119</v>
      </c>
      <c r="I31" s="12">
        <v>0</v>
      </c>
      <c r="J31" s="12">
        <v>3</v>
      </c>
      <c r="K31" s="12">
        <f t="shared" si="0"/>
        <v>3</v>
      </c>
      <c r="L31" s="13" t="str">
        <f t="shared" si="1"/>
        <v>有临时素材/仍需替换</v>
      </c>
      <c r="M31" s="13" t="s">
        <v>53</v>
      </c>
      <c r="N31" s="11" t="s">
        <v>233</v>
      </c>
      <c r="O31" s="11" t="s">
        <v>234</v>
      </c>
      <c r="P31" s="11" t="s">
        <v>235</v>
      </c>
      <c r="Q31" s="11" t="s">
        <v>73</v>
      </c>
      <c r="R31" s="11" t="s">
        <v>236</v>
      </c>
    </row>
    <row r="32" ht="43" customHeight="1" spans="1:18">
      <c r="A32" s="10" t="s">
        <v>237</v>
      </c>
      <c r="B32" s="10" t="s">
        <v>9</v>
      </c>
      <c r="C32" s="10" t="s">
        <v>49</v>
      </c>
      <c r="D32" s="10" t="s">
        <v>20</v>
      </c>
      <c r="E32" s="11" t="s">
        <v>238</v>
      </c>
      <c r="F32" s="11" t="s">
        <v>239</v>
      </c>
      <c r="G32" s="12">
        <v>1</v>
      </c>
      <c r="H32" s="12" t="s">
        <v>52</v>
      </c>
      <c r="I32" s="12">
        <v>0</v>
      </c>
      <c r="J32" s="12">
        <v>0</v>
      </c>
      <c r="K32" s="12">
        <f t="shared" si="0"/>
        <v>1</v>
      </c>
      <c r="L32" s="13" t="str">
        <f t="shared" si="1"/>
        <v>完全缺失</v>
      </c>
      <c r="M32" s="13" t="s">
        <v>91</v>
      </c>
      <c r="N32" s="11" t="s">
        <v>240</v>
      </c>
      <c r="O32" s="11" t="s">
        <v>241</v>
      </c>
      <c r="P32" s="11" t="s">
        <v>242</v>
      </c>
      <c r="Q32" s="11" t="s">
        <v>243</v>
      </c>
      <c r="R32" s="11" t="s">
        <v>244</v>
      </c>
    </row>
    <row r="33" ht="43" customHeight="1" spans="1:18">
      <c r="A33" s="10" t="s">
        <v>245</v>
      </c>
      <c r="B33" s="10" t="s">
        <v>9</v>
      </c>
      <c r="C33" s="10" t="s">
        <v>49</v>
      </c>
      <c r="D33" s="10" t="s">
        <v>20</v>
      </c>
      <c r="E33" s="11" t="s">
        <v>246</v>
      </c>
      <c r="F33" s="11" t="s">
        <v>247</v>
      </c>
      <c r="G33" s="12">
        <v>1</v>
      </c>
      <c r="H33" s="12" t="s">
        <v>52</v>
      </c>
      <c r="I33" s="12">
        <v>0</v>
      </c>
      <c r="J33" s="12">
        <v>0</v>
      </c>
      <c r="K33" s="12">
        <f t="shared" si="0"/>
        <v>1</v>
      </c>
      <c r="L33" s="13" t="str">
        <f t="shared" si="1"/>
        <v>完全缺失</v>
      </c>
      <c r="M33" s="13" t="s">
        <v>91</v>
      </c>
      <c r="N33" s="11" t="s">
        <v>248</v>
      </c>
      <c r="O33" s="11" t="s">
        <v>249</v>
      </c>
      <c r="P33" s="11" t="s">
        <v>250</v>
      </c>
      <c r="Q33" s="11" t="s">
        <v>243</v>
      </c>
      <c r="R33" s="11" t="s">
        <v>251</v>
      </c>
    </row>
    <row r="34" ht="43" customHeight="1" spans="1:18">
      <c r="A34" s="10" t="s">
        <v>252</v>
      </c>
      <c r="B34" s="10" t="s">
        <v>11</v>
      </c>
      <c r="C34" s="10" t="s">
        <v>67</v>
      </c>
      <c r="D34" s="10" t="s">
        <v>20</v>
      </c>
      <c r="E34" s="11" t="s">
        <v>253</v>
      </c>
      <c r="F34" s="11" t="s">
        <v>254</v>
      </c>
      <c r="G34" s="12">
        <v>1</v>
      </c>
      <c r="H34" s="12" t="s">
        <v>52</v>
      </c>
      <c r="I34" s="12">
        <v>0</v>
      </c>
      <c r="J34" s="12">
        <v>0</v>
      </c>
      <c r="K34" s="12">
        <f t="shared" si="0"/>
        <v>1</v>
      </c>
      <c r="L34" s="13" t="str">
        <f t="shared" si="1"/>
        <v>完全缺失</v>
      </c>
      <c r="M34" s="13" t="s">
        <v>53</v>
      </c>
      <c r="N34" s="11" t="s">
        <v>255</v>
      </c>
      <c r="O34" s="11" t="s">
        <v>256</v>
      </c>
      <c r="P34" s="11" t="s">
        <v>257</v>
      </c>
      <c r="Q34" s="11" t="s">
        <v>243</v>
      </c>
      <c r="R34" s="11" t="s">
        <v>258</v>
      </c>
    </row>
    <row r="35" ht="43" customHeight="1" spans="1:18">
      <c r="A35" s="10" t="s">
        <v>259</v>
      </c>
      <c r="B35" s="10" t="s">
        <v>9</v>
      </c>
      <c r="C35" s="10" t="s">
        <v>49</v>
      </c>
      <c r="D35" s="10" t="s">
        <v>20</v>
      </c>
      <c r="E35" s="11" t="s">
        <v>260</v>
      </c>
      <c r="F35" s="11" t="s">
        <v>261</v>
      </c>
      <c r="G35" s="12">
        <v>1</v>
      </c>
      <c r="H35" s="12" t="s">
        <v>52</v>
      </c>
      <c r="I35" s="12">
        <v>0</v>
      </c>
      <c r="J35" s="12">
        <v>0</v>
      </c>
      <c r="K35" s="12">
        <f t="shared" si="0"/>
        <v>1</v>
      </c>
      <c r="L35" s="13" t="str">
        <f t="shared" si="1"/>
        <v>完全缺失</v>
      </c>
      <c r="M35" s="13" t="s">
        <v>91</v>
      </c>
      <c r="N35" s="11" t="s">
        <v>262</v>
      </c>
      <c r="O35" s="11" t="s">
        <v>263</v>
      </c>
      <c r="P35" s="11" t="s">
        <v>264</v>
      </c>
      <c r="Q35" s="11" t="s">
        <v>243</v>
      </c>
      <c r="R35" s="11" t="s">
        <v>265</v>
      </c>
    </row>
    <row r="36" ht="43" customHeight="1" spans="1:18">
      <c r="A36" s="10" t="s">
        <v>266</v>
      </c>
      <c r="B36" s="10" t="s">
        <v>9</v>
      </c>
      <c r="C36" s="10" t="s">
        <v>49</v>
      </c>
      <c r="D36" s="10" t="s">
        <v>20</v>
      </c>
      <c r="E36" s="11" t="s">
        <v>267</v>
      </c>
      <c r="F36" s="11" t="s">
        <v>268</v>
      </c>
      <c r="G36" s="12">
        <v>1</v>
      </c>
      <c r="H36" s="12" t="s">
        <v>52</v>
      </c>
      <c r="I36" s="12">
        <v>0</v>
      </c>
      <c r="J36" s="12">
        <v>0</v>
      </c>
      <c r="K36" s="12">
        <f t="shared" si="0"/>
        <v>1</v>
      </c>
      <c r="L36" s="13" t="str">
        <f t="shared" si="1"/>
        <v>完全缺失</v>
      </c>
      <c r="M36" s="13" t="s">
        <v>91</v>
      </c>
      <c r="N36" s="11" t="s">
        <v>269</v>
      </c>
      <c r="O36" s="11" t="s">
        <v>270</v>
      </c>
      <c r="P36" s="11" t="s">
        <v>271</v>
      </c>
      <c r="Q36" s="11" t="s">
        <v>243</v>
      </c>
      <c r="R36" s="11" t="s">
        <v>272</v>
      </c>
    </row>
    <row r="37" ht="43" customHeight="1" spans="1:18">
      <c r="A37" s="10" t="s">
        <v>273</v>
      </c>
      <c r="B37" s="10" t="s">
        <v>9</v>
      </c>
      <c r="C37" s="10" t="s">
        <v>49</v>
      </c>
      <c r="D37" s="10" t="s">
        <v>20</v>
      </c>
      <c r="E37" s="11" t="s">
        <v>274</v>
      </c>
      <c r="F37" s="11" t="s">
        <v>275</v>
      </c>
      <c r="G37" s="12">
        <v>1</v>
      </c>
      <c r="H37" s="12" t="s">
        <v>52</v>
      </c>
      <c r="I37" s="12">
        <v>0</v>
      </c>
      <c r="J37" s="12">
        <v>0</v>
      </c>
      <c r="K37" s="12">
        <f t="shared" si="0"/>
        <v>1</v>
      </c>
      <c r="L37" s="13" t="str">
        <f t="shared" si="1"/>
        <v>完全缺失</v>
      </c>
      <c r="M37" s="13" t="s">
        <v>91</v>
      </c>
      <c r="N37" s="11" t="s">
        <v>276</v>
      </c>
      <c r="O37" s="11" t="s">
        <v>277</v>
      </c>
      <c r="P37" s="11" t="s">
        <v>278</v>
      </c>
      <c r="Q37" s="11" t="s">
        <v>243</v>
      </c>
      <c r="R37" s="11" t="s">
        <v>279</v>
      </c>
    </row>
    <row r="38" ht="43" customHeight="1" spans="1:18">
      <c r="A38" s="10" t="s">
        <v>280</v>
      </c>
      <c r="B38" s="10" t="s">
        <v>11</v>
      </c>
      <c r="C38" s="10" t="s">
        <v>67</v>
      </c>
      <c r="D38" s="10" t="s">
        <v>20</v>
      </c>
      <c r="E38" s="11" t="s">
        <v>281</v>
      </c>
      <c r="F38" s="11" t="s">
        <v>282</v>
      </c>
      <c r="G38" s="12">
        <v>1</v>
      </c>
      <c r="H38" s="12" t="s">
        <v>52</v>
      </c>
      <c r="I38" s="12">
        <v>0</v>
      </c>
      <c r="J38" s="12">
        <v>1</v>
      </c>
      <c r="K38" s="12">
        <f t="shared" si="0"/>
        <v>1</v>
      </c>
      <c r="L38" s="13" t="str">
        <f t="shared" si="1"/>
        <v>有临时素材/仍需替换</v>
      </c>
      <c r="M38" s="13" t="s">
        <v>53</v>
      </c>
      <c r="N38" s="11" t="s">
        <v>283</v>
      </c>
      <c r="O38" s="11" t="s">
        <v>284</v>
      </c>
      <c r="P38" s="11" t="s">
        <v>285</v>
      </c>
      <c r="Q38" s="11" t="s">
        <v>243</v>
      </c>
      <c r="R38" s="11" t="s">
        <v>286</v>
      </c>
    </row>
    <row r="39" ht="43" customHeight="1" spans="1:18">
      <c r="A39" s="10" t="s">
        <v>287</v>
      </c>
      <c r="B39" s="10" t="s">
        <v>11</v>
      </c>
      <c r="C39" s="10" t="s">
        <v>67</v>
      </c>
      <c r="D39" s="10" t="s">
        <v>20</v>
      </c>
      <c r="E39" s="11" t="s">
        <v>288</v>
      </c>
      <c r="F39" s="11" t="s">
        <v>289</v>
      </c>
      <c r="G39" s="12">
        <v>1</v>
      </c>
      <c r="H39" s="12" t="s">
        <v>52</v>
      </c>
      <c r="I39" s="12">
        <v>0</v>
      </c>
      <c r="J39" s="12">
        <v>0</v>
      </c>
      <c r="K39" s="12">
        <f t="shared" si="0"/>
        <v>1</v>
      </c>
      <c r="L39" s="13" t="str">
        <f t="shared" si="1"/>
        <v>完全缺失</v>
      </c>
      <c r="M39" s="13" t="s">
        <v>53</v>
      </c>
      <c r="N39" s="11" t="s">
        <v>290</v>
      </c>
      <c r="O39" s="11" t="s">
        <v>291</v>
      </c>
      <c r="P39" s="11" t="s">
        <v>292</v>
      </c>
      <c r="Q39" s="11" t="s">
        <v>243</v>
      </c>
      <c r="R39" s="11" t="s">
        <v>293</v>
      </c>
    </row>
    <row r="40" ht="43" customHeight="1" spans="1:18">
      <c r="A40" s="10" t="s">
        <v>294</v>
      </c>
      <c r="B40" s="10" t="s">
        <v>11</v>
      </c>
      <c r="C40" s="10" t="s">
        <v>295</v>
      </c>
      <c r="D40" s="10" t="s">
        <v>20</v>
      </c>
      <c r="E40" s="11" t="s">
        <v>296</v>
      </c>
      <c r="F40" s="11" t="s">
        <v>297</v>
      </c>
      <c r="G40" s="12">
        <v>1</v>
      </c>
      <c r="H40" s="12" t="s">
        <v>52</v>
      </c>
      <c r="I40" s="12">
        <v>0</v>
      </c>
      <c r="J40" s="12">
        <v>1</v>
      </c>
      <c r="K40" s="12">
        <f t="shared" si="0"/>
        <v>1</v>
      </c>
      <c r="L40" s="13" t="str">
        <f t="shared" si="1"/>
        <v>有临时素材/仍需替换</v>
      </c>
      <c r="M40" s="13" t="s">
        <v>69</v>
      </c>
      <c r="N40" s="11" t="s">
        <v>298</v>
      </c>
      <c r="O40" s="11" t="s">
        <v>299</v>
      </c>
      <c r="P40" s="11" t="s">
        <v>300</v>
      </c>
      <c r="Q40" s="11" t="s">
        <v>301</v>
      </c>
      <c r="R40" s="11" t="s">
        <v>302</v>
      </c>
    </row>
    <row r="41" ht="43" customHeight="1" spans="1:18">
      <c r="A41" s="10" t="s">
        <v>303</v>
      </c>
      <c r="B41" s="10" t="s">
        <v>15</v>
      </c>
      <c r="C41" s="10" t="s">
        <v>295</v>
      </c>
      <c r="D41" s="10" t="s">
        <v>22</v>
      </c>
      <c r="E41" s="11" t="s">
        <v>304</v>
      </c>
      <c r="F41" s="11" t="s">
        <v>305</v>
      </c>
      <c r="G41" s="12">
        <v>38</v>
      </c>
      <c r="H41" s="12" t="s">
        <v>119</v>
      </c>
      <c r="I41" s="12">
        <v>0</v>
      </c>
      <c r="J41" s="12">
        <v>0</v>
      </c>
      <c r="K41" s="12">
        <f t="shared" si="0"/>
        <v>38</v>
      </c>
      <c r="L41" s="13" t="str">
        <f t="shared" si="1"/>
        <v>完全缺失</v>
      </c>
      <c r="M41" s="13" t="s">
        <v>69</v>
      </c>
      <c r="N41" s="11" t="s">
        <v>306</v>
      </c>
      <c r="O41" s="11" t="s">
        <v>307</v>
      </c>
      <c r="P41" s="11" t="s">
        <v>308</v>
      </c>
      <c r="Q41" s="11" t="s">
        <v>309</v>
      </c>
      <c r="R41" s="11" t="s">
        <v>310</v>
      </c>
    </row>
    <row r="42" ht="43" customHeight="1" spans="1:18">
      <c r="A42" s="10" t="s">
        <v>311</v>
      </c>
      <c r="B42" s="10" t="s">
        <v>17</v>
      </c>
      <c r="C42" s="10" t="s">
        <v>295</v>
      </c>
      <c r="D42" s="10" t="s">
        <v>22</v>
      </c>
      <c r="E42" s="11" t="s">
        <v>312</v>
      </c>
      <c r="F42" s="11" t="s">
        <v>313</v>
      </c>
      <c r="G42" s="12">
        <v>100</v>
      </c>
      <c r="H42" s="12" t="s">
        <v>119</v>
      </c>
      <c r="I42" s="12">
        <v>0</v>
      </c>
      <c r="J42" s="12">
        <v>0</v>
      </c>
      <c r="K42" s="12">
        <f t="shared" si="0"/>
        <v>100</v>
      </c>
      <c r="L42" s="13" t="str">
        <f t="shared" si="1"/>
        <v>完全缺失</v>
      </c>
      <c r="M42" s="13" t="s">
        <v>69</v>
      </c>
      <c r="N42" s="11" t="s">
        <v>314</v>
      </c>
      <c r="O42" s="11" t="s">
        <v>315</v>
      </c>
      <c r="P42" s="11" t="s">
        <v>316</v>
      </c>
      <c r="Q42" s="11" t="s">
        <v>309</v>
      </c>
      <c r="R42" s="11" t="s">
        <v>317</v>
      </c>
    </row>
    <row r="43" ht="43" customHeight="1" spans="1:18">
      <c r="A43" s="10" t="s">
        <v>318</v>
      </c>
      <c r="B43" s="10" t="s">
        <v>11</v>
      </c>
      <c r="C43" s="10" t="s">
        <v>49</v>
      </c>
      <c r="D43" s="10" t="s">
        <v>12</v>
      </c>
      <c r="E43" s="11" t="s">
        <v>267</v>
      </c>
      <c r="F43" s="11" t="s">
        <v>319</v>
      </c>
      <c r="G43" s="12">
        <v>6</v>
      </c>
      <c r="H43" s="12" t="s">
        <v>110</v>
      </c>
      <c r="I43" s="12">
        <v>0</v>
      </c>
      <c r="J43" s="12">
        <v>0</v>
      </c>
      <c r="K43" s="12">
        <f t="shared" si="0"/>
        <v>6</v>
      </c>
      <c r="L43" s="13" t="str">
        <f t="shared" si="1"/>
        <v>完全缺失</v>
      </c>
      <c r="M43" s="13" t="s">
        <v>91</v>
      </c>
      <c r="N43" s="11" t="s">
        <v>320</v>
      </c>
      <c r="O43" s="11" t="s">
        <v>321</v>
      </c>
      <c r="P43" s="11" t="s">
        <v>322</v>
      </c>
      <c r="Q43" s="11" t="s">
        <v>323</v>
      </c>
      <c r="R43" s="11" t="s">
        <v>324</v>
      </c>
    </row>
    <row r="44" ht="43" customHeight="1" spans="1:18">
      <c r="A44" s="10" t="s">
        <v>325</v>
      </c>
      <c r="B44" s="10" t="s">
        <v>11</v>
      </c>
      <c r="C44" s="10" t="s">
        <v>49</v>
      </c>
      <c r="D44" s="10" t="s">
        <v>14</v>
      </c>
      <c r="E44" s="11" t="s">
        <v>267</v>
      </c>
      <c r="F44" s="11" t="s">
        <v>326</v>
      </c>
      <c r="G44" s="12">
        <v>6</v>
      </c>
      <c r="H44" s="12" t="s">
        <v>52</v>
      </c>
      <c r="I44" s="12">
        <v>0</v>
      </c>
      <c r="J44" s="12">
        <v>0</v>
      </c>
      <c r="K44" s="12">
        <f t="shared" si="0"/>
        <v>6</v>
      </c>
      <c r="L44" s="13" t="str">
        <f t="shared" si="1"/>
        <v>完全缺失</v>
      </c>
      <c r="M44" s="13" t="s">
        <v>91</v>
      </c>
      <c r="N44" s="11" t="s">
        <v>327</v>
      </c>
      <c r="O44" s="11" t="s">
        <v>328</v>
      </c>
      <c r="P44" s="11" t="s">
        <v>329</v>
      </c>
      <c r="Q44" s="11" t="s">
        <v>330</v>
      </c>
      <c r="R44" s="11" t="s">
        <v>331</v>
      </c>
    </row>
    <row r="45" ht="43" customHeight="1" spans="1:18">
      <c r="A45" s="10" t="s">
        <v>332</v>
      </c>
      <c r="B45" s="10" t="s">
        <v>11</v>
      </c>
      <c r="C45" s="10" t="s">
        <v>49</v>
      </c>
      <c r="D45" s="10" t="s">
        <v>12</v>
      </c>
      <c r="E45" s="11" t="s">
        <v>333</v>
      </c>
      <c r="F45" s="11" t="s">
        <v>334</v>
      </c>
      <c r="G45" s="12">
        <v>6</v>
      </c>
      <c r="H45" s="12" t="s">
        <v>110</v>
      </c>
      <c r="I45" s="12">
        <v>0</v>
      </c>
      <c r="J45" s="12">
        <v>0</v>
      </c>
      <c r="K45" s="12">
        <f t="shared" si="0"/>
        <v>6</v>
      </c>
      <c r="L45" s="13" t="str">
        <f t="shared" si="1"/>
        <v>完全缺失</v>
      </c>
      <c r="M45" s="13" t="s">
        <v>91</v>
      </c>
      <c r="N45" s="11" t="s">
        <v>335</v>
      </c>
      <c r="O45" s="11" t="s">
        <v>336</v>
      </c>
      <c r="P45" s="11" t="s">
        <v>337</v>
      </c>
      <c r="Q45" s="11" t="s">
        <v>309</v>
      </c>
      <c r="R45" s="11" t="s">
        <v>338</v>
      </c>
    </row>
    <row r="46" ht="43" customHeight="1" spans="1:18">
      <c r="A46" s="10" t="s">
        <v>339</v>
      </c>
      <c r="B46" s="10" t="s">
        <v>11</v>
      </c>
      <c r="C46" s="10" t="s">
        <v>49</v>
      </c>
      <c r="D46" s="10" t="s">
        <v>14</v>
      </c>
      <c r="E46" s="11" t="s">
        <v>333</v>
      </c>
      <c r="F46" s="11" t="s">
        <v>340</v>
      </c>
      <c r="G46" s="12">
        <v>6</v>
      </c>
      <c r="H46" s="12" t="s">
        <v>52</v>
      </c>
      <c r="I46" s="12">
        <v>0</v>
      </c>
      <c r="J46" s="12">
        <v>0</v>
      </c>
      <c r="K46" s="12">
        <f t="shared" si="0"/>
        <v>6</v>
      </c>
      <c r="L46" s="13" t="str">
        <f t="shared" si="1"/>
        <v>完全缺失</v>
      </c>
      <c r="M46" s="13" t="s">
        <v>91</v>
      </c>
      <c r="N46" s="11" t="s">
        <v>341</v>
      </c>
      <c r="O46" s="11" t="s">
        <v>342</v>
      </c>
      <c r="P46" s="11" t="s">
        <v>343</v>
      </c>
      <c r="Q46" s="11" t="s">
        <v>344</v>
      </c>
      <c r="R46" s="11" t="s">
        <v>345</v>
      </c>
    </row>
    <row r="47" ht="43" customHeight="1" spans="1:18">
      <c r="A47" s="10" t="s">
        <v>346</v>
      </c>
      <c r="B47" s="10" t="s">
        <v>11</v>
      </c>
      <c r="C47" s="10" t="s">
        <v>49</v>
      </c>
      <c r="D47" s="10" t="s">
        <v>12</v>
      </c>
      <c r="E47" s="11" t="s">
        <v>347</v>
      </c>
      <c r="F47" s="11" t="s">
        <v>348</v>
      </c>
      <c r="G47" s="12">
        <v>2</v>
      </c>
      <c r="H47" s="12" t="s">
        <v>110</v>
      </c>
      <c r="I47" s="12">
        <v>0</v>
      </c>
      <c r="J47" s="12">
        <v>0</v>
      </c>
      <c r="K47" s="12">
        <f t="shared" si="0"/>
        <v>2</v>
      </c>
      <c r="L47" s="13" t="str">
        <f t="shared" si="1"/>
        <v>完全缺失</v>
      </c>
      <c r="M47" s="13" t="s">
        <v>91</v>
      </c>
      <c r="N47" s="11" t="s">
        <v>349</v>
      </c>
      <c r="O47" s="11" t="s">
        <v>350</v>
      </c>
      <c r="P47" s="11" t="s">
        <v>351</v>
      </c>
      <c r="Q47" s="11" t="s">
        <v>73</v>
      </c>
      <c r="R47" s="11" t="s">
        <v>352</v>
      </c>
    </row>
    <row r="48" ht="43" customHeight="1" spans="1:18">
      <c r="A48" s="10" t="s">
        <v>353</v>
      </c>
      <c r="B48" s="10" t="s">
        <v>11</v>
      </c>
      <c r="C48" s="10" t="s">
        <v>49</v>
      </c>
      <c r="D48" s="10" t="s">
        <v>14</v>
      </c>
      <c r="E48" s="11" t="s">
        <v>347</v>
      </c>
      <c r="F48" s="11" t="s">
        <v>354</v>
      </c>
      <c r="G48" s="12">
        <v>2</v>
      </c>
      <c r="H48" s="12" t="s">
        <v>52</v>
      </c>
      <c r="I48" s="12">
        <v>0</v>
      </c>
      <c r="J48" s="12">
        <v>0</v>
      </c>
      <c r="K48" s="12">
        <f t="shared" si="0"/>
        <v>2</v>
      </c>
      <c r="L48" s="13" t="str">
        <f t="shared" si="1"/>
        <v>完全缺失</v>
      </c>
      <c r="M48" s="13" t="s">
        <v>91</v>
      </c>
      <c r="N48" s="11" t="s">
        <v>355</v>
      </c>
      <c r="O48" s="11" t="s">
        <v>356</v>
      </c>
      <c r="P48" s="11" t="s">
        <v>357</v>
      </c>
      <c r="Q48" s="11" t="s">
        <v>358</v>
      </c>
      <c r="R48" s="11" t="s">
        <v>359</v>
      </c>
    </row>
    <row r="49" ht="43" customHeight="1" spans="1:18">
      <c r="A49" s="10" t="s">
        <v>360</v>
      </c>
      <c r="B49" s="10" t="s">
        <v>9</v>
      </c>
      <c r="C49" s="10" t="s">
        <v>49</v>
      </c>
      <c r="D49" s="10" t="s">
        <v>12</v>
      </c>
      <c r="E49" s="11" t="s">
        <v>361</v>
      </c>
      <c r="F49" s="11" t="s">
        <v>362</v>
      </c>
      <c r="G49" s="12">
        <v>4</v>
      </c>
      <c r="H49" s="12" t="s">
        <v>119</v>
      </c>
      <c r="I49" s="12">
        <v>0</v>
      </c>
      <c r="J49" s="12">
        <v>0</v>
      </c>
      <c r="K49" s="12">
        <f t="shared" si="0"/>
        <v>4</v>
      </c>
      <c r="L49" s="13" t="str">
        <f t="shared" si="1"/>
        <v>完全缺失</v>
      </c>
      <c r="M49" s="13" t="s">
        <v>91</v>
      </c>
      <c r="N49" s="11" t="s">
        <v>363</v>
      </c>
      <c r="O49" s="11" t="s">
        <v>364</v>
      </c>
      <c r="P49" s="11" t="s">
        <v>365</v>
      </c>
      <c r="Q49" s="11" t="s">
        <v>73</v>
      </c>
      <c r="R49" s="11" t="s">
        <v>366</v>
      </c>
    </row>
    <row r="50" ht="43" customHeight="1" spans="1:18">
      <c r="A50" s="10" t="s">
        <v>367</v>
      </c>
      <c r="B50" s="10" t="s">
        <v>11</v>
      </c>
      <c r="C50" s="10" t="s">
        <v>67</v>
      </c>
      <c r="D50" s="10" t="s">
        <v>22</v>
      </c>
      <c r="E50" s="11" t="s">
        <v>368</v>
      </c>
      <c r="F50" s="11" t="s">
        <v>369</v>
      </c>
      <c r="G50" s="12">
        <v>18</v>
      </c>
      <c r="H50" s="12" t="s">
        <v>119</v>
      </c>
      <c r="I50" s="12">
        <v>0</v>
      </c>
      <c r="J50" s="12">
        <v>0</v>
      </c>
      <c r="K50" s="12">
        <f t="shared" si="0"/>
        <v>18</v>
      </c>
      <c r="L50" s="13" t="str">
        <f t="shared" si="1"/>
        <v>完全缺失</v>
      </c>
      <c r="M50" s="13" t="s">
        <v>53</v>
      </c>
      <c r="N50" s="11" t="s">
        <v>370</v>
      </c>
      <c r="O50" s="11" t="s">
        <v>371</v>
      </c>
      <c r="P50" s="11" t="s">
        <v>372</v>
      </c>
      <c r="Q50" s="11" t="s">
        <v>73</v>
      </c>
      <c r="R50" s="11" t="s">
        <v>373</v>
      </c>
    </row>
    <row r="51" ht="43" customHeight="1" spans="1:18">
      <c r="A51" s="10" t="s">
        <v>374</v>
      </c>
      <c r="B51" s="10" t="s">
        <v>11</v>
      </c>
      <c r="C51" s="10" t="s">
        <v>67</v>
      </c>
      <c r="D51" s="10" t="s">
        <v>12</v>
      </c>
      <c r="E51" s="11" t="s">
        <v>375</v>
      </c>
      <c r="F51" s="11" t="s">
        <v>376</v>
      </c>
      <c r="G51" s="12">
        <v>6</v>
      </c>
      <c r="H51" s="12" t="s">
        <v>377</v>
      </c>
      <c r="I51" s="12">
        <v>0</v>
      </c>
      <c r="J51" s="12">
        <v>0</v>
      </c>
      <c r="K51" s="12">
        <f t="shared" si="0"/>
        <v>6</v>
      </c>
      <c r="L51" s="13" t="str">
        <f t="shared" si="1"/>
        <v>完全缺失</v>
      </c>
      <c r="M51" s="13" t="s">
        <v>69</v>
      </c>
      <c r="N51" s="11" t="s">
        <v>378</v>
      </c>
      <c r="O51" s="11" t="s">
        <v>379</v>
      </c>
      <c r="P51" s="11" t="s">
        <v>380</v>
      </c>
      <c r="Q51" s="11" t="s">
        <v>381</v>
      </c>
      <c r="R51" s="11" t="s">
        <v>382</v>
      </c>
    </row>
    <row r="52" ht="43" customHeight="1" spans="1:18">
      <c r="A52" s="10" t="s">
        <v>383</v>
      </c>
      <c r="B52" s="10" t="s">
        <v>15</v>
      </c>
      <c r="C52" s="10" t="s">
        <v>295</v>
      </c>
      <c r="D52" s="10" t="s">
        <v>12</v>
      </c>
      <c r="E52" s="11" t="s">
        <v>384</v>
      </c>
      <c r="F52" s="11" t="s">
        <v>385</v>
      </c>
      <c r="G52" s="12">
        <v>10</v>
      </c>
      <c r="H52" s="12" t="s">
        <v>110</v>
      </c>
      <c r="I52" s="12">
        <v>0</v>
      </c>
      <c r="J52" s="12">
        <v>0</v>
      </c>
      <c r="K52" s="12">
        <f t="shared" si="0"/>
        <v>10</v>
      </c>
      <c r="L52" s="13" t="str">
        <f t="shared" si="1"/>
        <v>完全缺失</v>
      </c>
      <c r="M52" s="13" t="s">
        <v>69</v>
      </c>
      <c r="N52" s="11" t="s">
        <v>386</v>
      </c>
      <c r="O52" s="11" t="s">
        <v>387</v>
      </c>
      <c r="P52" s="11" t="s">
        <v>388</v>
      </c>
      <c r="Q52" s="11" t="s">
        <v>309</v>
      </c>
      <c r="R52" s="11" t="s">
        <v>352</v>
      </c>
    </row>
    <row r="53" ht="43" customHeight="1" spans="1:18">
      <c r="A53" s="10" t="s">
        <v>389</v>
      </c>
      <c r="B53" s="10" t="s">
        <v>15</v>
      </c>
      <c r="C53" s="10" t="s">
        <v>295</v>
      </c>
      <c r="D53" s="10" t="s">
        <v>14</v>
      </c>
      <c r="E53" s="11" t="s">
        <v>384</v>
      </c>
      <c r="F53" s="11" t="s">
        <v>390</v>
      </c>
      <c r="G53" s="12">
        <v>10</v>
      </c>
      <c r="H53" s="12" t="s">
        <v>52</v>
      </c>
      <c r="I53" s="12">
        <v>0</v>
      </c>
      <c r="J53" s="12">
        <v>0</v>
      </c>
      <c r="K53" s="12">
        <f t="shared" si="0"/>
        <v>10</v>
      </c>
      <c r="L53" s="13" t="str">
        <f t="shared" si="1"/>
        <v>完全缺失</v>
      </c>
      <c r="M53" s="13" t="s">
        <v>69</v>
      </c>
      <c r="N53" s="11" t="s">
        <v>391</v>
      </c>
      <c r="O53" s="11" t="s">
        <v>392</v>
      </c>
      <c r="P53" s="11" t="s">
        <v>393</v>
      </c>
      <c r="Q53" s="11" t="s">
        <v>394</v>
      </c>
      <c r="R53" s="11" t="s">
        <v>395</v>
      </c>
    </row>
    <row r="54" ht="43" customHeight="1" spans="1:18">
      <c r="A54" s="10" t="s">
        <v>396</v>
      </c>
      <c r="B54" s="10" t="s">
        <v>15</v>
      </c>
      <c r="C54" s="10" t="s">
        <v>397</v>
      </c>
      <c r="D54" s="10" t="s">
        <v>12</v>
      </c>
      <c r="E54" s="11" t="s">
        <v>398</v>
      </c>
      <c r="F54" s="11" t="s">
        <v>399</v>
      </c>
      <c r="G54" s="12">
        <v>12</v>
      </c>
      <c r="H54" s="12" t="s">
        <v>110</v>
      </c>
      <c r="I54" s="12">
        <v>0</v>
      </c>
      <c r="J54" s="12">
        <v>0</v>
      </c>
      <c r="K54" s="12">
        <f t="shared" si="0"/>
        <v>12</v>
      </c>
      <c r="L54" s="13" t="str">
        <f t="shared" si="1"/>
        <v>完全缺失</v>
      </c>
      <c r="M54" s="13" t="s">
        <v>69</v>
      </c>
      <c r="N54" s="11" t="s">
        <v>400</v>
      </c>
      <c r="O54" s="11" t="s">
        <v>401</v>
      </c>
      <c r="P54" s="11" t="s">
        <v>402</v>
      </c>
      <c r="Q54" s="11" t="s">
        <v>403</v>
      </c>
      <c r="R54" s="11" t="s">
        <v>404</v>
      </c>
    </row>
    <row r="55" ht="43" customHeight="1" spans="1:18">
      <c r="A55" s="10" t="s">
        <v>405</v>
      </c>
      <c r="B55" s="10" t="s">
        <v>11</v>
      </c>
      <c r="C55" s="10" t="s">
        <v>49</v>
      </c>
      <c r="D55" s="10" t="s">
        <v>16</v>
      </c>
      <c r="E55" s="11" t="s">
        <v>406</v>
      </c>
      <c r="F55" s="11" t="s">
        <v>407</v>
      </c>
      <c r="G55" s="12">
        <v>6</v>
      </c>
      <c r="H55" s="12" t="s">
        <v>408</v>
      </c>
      <c r="I55" s="12">
        <v>0</v>
      </c>
      <c r="J55" s="12">
        <v>0</v>
      </c>
      <c r="K55" s="12">
        <f t="shared" si="0"/>
        <v>6</v>
      </c>
      <c r="L55" s="13" t="str">
        <f t="shared" si="1"/>
        <v>完全缺失</v>
      </c>
      <c r="M55" s="13" t="s">
        <v>91</v>
      </c>
      <c r="N55" s="11" t="s">
        <v>409</v>
      </c>
      <c r="O55" s="11" t="s">
        <v>410</v>
      </c>
      <c r="P55" s="11" t="s">
        <v>411</v>
      </c>
      <c r="Q55" s="11" t="s">
        <v>412</v>
      </c>
      <c r="R55" s="11" t="s">
        <v>413</v>
      </c>
    </row>
    <row r="56" ht="43" customHeight="1" spans="1:18">
      <c r="A56" s="10" t="s">
        <v>414</v>
      </c>
      <c r="B56" s="10" t="s">
        <v>11</v>
      </c>
      <c r="C56" s="10" t="s">
        <v>49</v>
      </c>
      <c r="D56" s="10" t="s">
        <v>16</v>
      </c>
      <c r="E56" s="11" t="s">
        <v>406</v>
      </c>
      <c r="F56" s="11" t="s">
        <v>415</v>
      </c>
      <c r="G56" s="12">
        <v>2</v>
      </c>
      <c r="H56" s="12" t="s">
        <v>408</v>
      </c>
      <c r="I56" s="12">
        <v>0</v>
      </c>
      <c r="J56" s="12">
        <v>0</v>
      </c>
      <c r="K56" s="12">
        <f t="shared" si="0"/>
        <v>2</v>
      </c>
      <c r="L56" s="13" t="str">
        <f t="shared" si="1"/>
        <v>完全缺失</v>
      </c>
      <c r="M56" s="13" t="s">
        <v>91</v>
      </c>
      <c r="N56" s="11" t="s">
        <v>416</v>
      </c>
      <c r="O56" s="11" t="s">
        <v>417</v>
      </c>
      <c r="P56" s="11" t="s">
        <v>418</v>
      </c>
      <c r="Q56" s="11" t="s">
        <v>419</v>
      </c>
      <c r="R56" s="11" t="s">
        <v>420</v>
      </c>
    </row>
    <row r="57" ht="43" customHeight="1" spans="1:18">
      <c r="A57" s="10" t="s">
        <v>421</v>
      </c>
      <c r="B57" s="10" t="s">
        <v>11</v>
      </c>
      <c r="C57" s="10" t="s">
        <v>49</v>
      </c>
      <c r="D57" s="10" t="s">
        <v>18</v>
      </c>
      <c r="E57" s="11" t="s">
        <v>406</v>
      </c>
      <c r="F57" s="11" t="s">
        <v>422</v>
      </c>
      <c r="G57" s="12">
        <v>2</v>
      </c>
      <c r="H57" s="12" t="s">
        <v>119</v>
      </c>
      <c r="I57" s="12">
        <v>0</v>
      </c>
      <c r="J57" s="12">
        <v>0</v>
      </c>
      <c r="K57" s="12">
        <f t="shared" si="0"/>
        <v>2</v>
      </c>
      <c r="L57" s="13" t="str">
        <f t="shared" si="1"/>
        <v>完全缺失</v>
      </c>
      <c r="M57" s="13" t="s">
        <v>91</v>
      </c>
      <c r="N57" s="11" t="s">
        <v>423</v>
      </c>
      <c r="O57" s="11" t="s">
        <v>424</v>
      </c>
      <c r="P57" s="11" t="s">
        <v>425</v>
      </c>
      <c r="Q57" s="11" t="s">
        <v>73</v>
      </c>
      <c r="R57" s="11" t="s">
        <v>426</v>
      </c>
    </row>
    <row r="58" ht="43" customHeight="1" spans="1:18">
      <c r="A58" s="10" t="s">
        <v>427</v>
      </c>
      <c r="B58" s="10" t="s">
        <v>11</v>
      </c>
      <c r="C58" s="10" t="s">
        <v>49</v>
      </c>
      <c r="D58" s="10" t="s">
        <v>14</v>
      </c>
      <c r="E58" s="11" t="s">
        <v>428</v>
      </c>
      <c r="F58" s="11" t="s">
        <v>429</v>
      </c>
      <c r="G58" s="12">
        <v>10</v>
      </c>
      <c r="H58" s="12" t="s">
        <v>52</v>
      </c>
      <c r="I58" s="12">
        <v>0</v>
      </c>
      <c r="J58" s="12">
        <v>0</v>
      </c>
      <c r="K58" s="12">
        <f t="shared" si="0"/>
        <v>10</v>
      </c>
      <c r="L58" s="13" t="str">
        <f t="shared" si="1"/>
        <v>完全缺失</v>
      </c>
      <c r="M58" s="13" t="s">
        <v>91</v>
      </c>
      <c r="N58" s="11" t="s">
        <v>430</v>
      </c>
      <c r="O58" s="11" t="s">
        <v>431</v>
      </c>
      <c r="P58" s="11" t="s">
        <v>432</v>
      </c>
      <c r="Q58" s="11" t="s">
        <v>433</v>
      </c>
      <c r="R58" s="11" t="s">
        <v>434</v>
      </c>
    </row>
    <row r="59" ht="43" customHeight="1" spans="1:18">
      <c r="A59" s="10" t="s">
        <v>435</v>
      </c>
      <c r="B59" s="10" t="s">
        <v>13</v>
      </c>
      <c r="C59" s="10" t="s">
        <v>67</v>
      </c>
      <c r="D59" s="10" t="s">
        <v>16</v>
      </c>
      <c r="E59" s="11" t="s">
        <v>436</v>
      </c>
      <c r="F59" s="11" t="s">
        <v>437</v>
      </c>
      <c r="G59" s="12">
        <v>5</v>
      </c>
      <c r="H59" s="12" t="s">
        <v>408</v>
      </c>
      <c r="I59" s="12">
        <v>0</v>
      </c>
      <c r="J59" s="12">
        <v>0</v>
      </c>
      <c r="K59" s="12">
        <f t="shared" si="0"/>
        <v>5</v>
      </c>
      <c r="L59" s="13" t="str">
        <f t="shared" si="1"/>
        <v>完全缺失</v>
      </c>
      <c r="M59" s="13" t="s">
        <v>69</v>
      </c>
      <c r="N59" s="11" t="s">
        <v>438</v>
      </c>
      <c r="O59" s="11" t="s">
        <v>439</v>
      </c>
      <c r="P59" s="11" t="s">
        <v>440</v>
      </c>
      <c r="Q59" s="11" t="s">
        <v>73</v>
      </c>
      <c r="R59" s="11" t="s">
        <v>441</v>
      </c>
    </row>
    <row r="60" ht="43" customHeight="1" spans="1:18">
      <c r="A60" s="10" t="s">
        <v>442</v>
      </c>
      <c r="B60" s="10" t="s">
        <v>13</v>
      </c>
      <c r="C60" s="10" t="s">
        <v>67</v>
      </c>
      <c r="D60" s="10" t="s">
        <v>16</v>
      </c>
      <c r="E60" s="11" t="s">
        <v>436</v>
      </c>
      <c r="F60" s="11" t="s">
        <v>443</v>
      </c>
      <c r="G60" s="12">
        <v>2</v>
      </c>
      <c r="H60" s="12" t="s">
        <v>408</v>
      </c>
      <c r="I60" s="12">
        <v>0</v>
      </c>
      <c r="J60" s="12">
        <v>0</v>
      </c>
      <c r="K60" s="12">
        <f t="shared" si="0"/>
        <v>2</v>
      </c>
      <c r="L60" s="13" t="str">
        <f t="shared" si="1"/>
        <v>完全缺失</v>
      </c>
      <c r="M60" s="13" t="s">
        <v>69</v>
      </c>
      <c r="N60" s="11" t="s">
        <v>444</v>
      </c>
      <c r="O60" s="11" t="s">
        <v>445</v>
      </c>
      <c r="P60" s="11" t="s">
        <v>446</v>
      </c>
      <c r="Q60" s="11" t="s">
        <v>73</v>
      </c>
      <c r="R60" s="11" t="s">
        <v>447</v>
      </c>
    </row>
    <row r="61" ht="43" customHeight="1" spans="1:18">
      <c r="A61" s="10" t="s">
        <v>448</v>
      </c>
      <c r="B61" s="10" t="s">
        <v>13</v>
      </c>
      <c r="C61" s="10" t="s">
        <v>67</v>
      </c>
      <c r="D61" s="10" t="s">
        <v>18</v>
      </c>
      <c r="E61" s="11" t="s">
        <v>436</v>
      </c>
      <c r="F61" s="11" t="s">
        <v>449</v>
      </c>
      <c r="G61" s="12">
        <v>3</v>
      </c>
      <c r="H61" s="12" t="s">
        <v>119</v>
      </c>
      <c r="I61" s="12">
        <v>0</v>
      </c>
      <c r="J61" s="12">
        <v>0</v>
      </c>
      <c r="K61" s="12">
        <f t="shared" si="0"/>
        <v>3</v>
      </c>
      <c r="L61" s="13" t="str">
        <f t="shared" si="1"/>
        <v>完全缺失</v>
      </c>
      <c r="M61" s="13" t="s">
        <v>69</v>
      </c>
      <c r="N61" s="11" t="s">
        <v>450</v>
      </c>
      <c r="O61" s="11" t="s">
        <v>451</v>
      </c>
      <c r="P61" s="11" t="s">
        <v>452</v>
      </c>
      <c r="Q61" s="11" t="s">
        <v>453</v>
      </c>
      <c r="R61" s="11" t="s">
        <v>454</v>
      </c>
    </row>
    <row r="62" ht="43" customHeight="1" spans="1:18">
      <c r="A62" s="10" t="s">
        <v>455</v>
      </c>
      <c r="B62" s="10" t="s">
        <v>13</v>
      </c>
      <c r="C62" s="10" t="s">
        <v>67</v>
      </c>
      <c r="D62" s="10" t="s">
        <v>14</v>
      </c>
      <c r="E62" s="11" t="s">
        <v>456</v>
      </c>
      <c r="F62" s="11" t="s">
        <v>457</v>
      </c>
      <c r="G62" s="12">
        <v>10</v>
      </c>
      <c r="H62" s="12" t="s">
        <v>52</v>
      </c>
      <c r="I62" s="12">
        <v>0</v>
      </c>
      <c r="J62" s="12">
        <v>0</v>
      </c>
      <c r="K62" s="12">
        <f t="shared" si="0"/>
        <v>10</v>
      </c>
      <c r="L62" s="13" t="str">
        <f t="shared" si="1"/>
        <v>完全缺失</v>
      </c>
      <c r="M62" s="13" t="s">
        <v>69</v>
      </c>
      <c r="N62" s="11" t="s">
        <v>458</v>
      </c>
      <c r="O62" s="11" t="s">
        <v>445</v>
      </c>
      <c r="P62" s="11" t="s">
        <v>459</v>
      </c>
      <c r="Q62" s="11" t="s">
        <v>460</v>
      </c>
      <c r="R62" s="11" t="s">
        <v>461</v>
      </c>
    </row>
    <row r="63" ht="43" customHeight="1" spans="1:18">
      <c r="A63" s="10" t="s">
        <v>462</v>
      </c>
      <c r="B63" s="10" t="s">
        <v>15</v>
      </c>
      <c r="C63" s="10" t="s">
        <v>295</v>
      </c>
      <c r="D63" s="10" t="s">
        <v>16</v>
      </c>
      <c r="E63" s="11" t="s">
        <v>463</v>
      </c>
      <c r="F63" s="11" t="s">
        <v>464</v>
      </c>
      <c r="G63" s="12">
        <v>10</v>
      </c>
      <c r="H63" s="12" t="s">
        <v>408</v>
      </c>
      <c r="I63" s="12">
        <v>0</v>
      </c>
      <c r="J63" s="12">
        <v>0</v>
      </c>
      <c r="K63" s="12">
        <f t="shared" si="0"/>
        <v>10</v>
      </c>
      <c r="L63" s="13" t="str">
        <f t="shared" si="1"/>
        <v>完全缺失</v>
      </c>
      <c r="M63" s="13" t="s">
        <v>69</v>
      </c>
      <c r="N63" s="11" t="s">
        <v>465</v>
      </c>
      <c r="O63" s="11" t="s">
        <v>445</v>
      </c>
      <c r="P63" s="11" t="s">
        <v>466</v>
      </c>
      <c r="Q63" s="11" t="s">
        <v>73</v>
      </c>
      <c r="R63" s="11" t="s">
        <v>467</v>
      </c>
    </row>
    <row r="64" ht="43" customHeight="1" spans="1:18">
      <c r="A64" s="10" t="s">
        <v>468</v>
      </c>
      <c r="B64" s="10" t="s">
        <v>15</v>
      </c>
      <c r="C64" s="10" t="s">
        <v>295</v>
      </c>
      <c r="D64" s="10" t="s">
        <v>14</v>
      </c>
      <c r="E64" s="11" t="s">
        <v>469</v>
      </c>
      <c r="F64" s="11" t="s">
        <v>470</v>
      </c>
      <c r="G64" s="12">
        <v>10</v>
      </c>
      <c r="H64" s="12" t="s">
        <v>52</v>
      </c>
      <c r="I64" s="12">
        <v>0</v>
      </c>
      <c r="J64" s="12">
        <v>0</v>
      </c>
      <c r="K64" s="12">
        <f t="shared" si="0"/>
        <v>10</v>
      </c>
      <c r="L64" s="13" t="str">
        <f t="shared" si="1"/>
        <v>完全缺失</v>
      </c>
      <c r="M64" s="13" t="s">
        <v>69</v>
      </c>
      <c r="N64" s="11" t="s">
        <v>471</v>
      </c>
      <c r="O64" s="11" t="s">
        <v>445</v>
      </c>
      <c r="P64" s="11" t="s">
        <v>472</v>
      </c>
      <c r="Q64" s="11" t="s">
        <v>73</v>
      </c>
      <c r="R64" s="11" t="s">
        <v>461</v>
      </c>
    </row>
    <row r="65" ht="43" customHeight="1" spans="1:18">
      <c r="A65" s="10" t="s">
        <v>473</v>
      </c>
      <c r="B65" s="10" t="s">
        <v>15</v>
      </c>
      <c r="C65" s="10" t="s">
        <v>295</v>
      </c>
      <c r="D65" s="10" t="s">
        <v>16</v>
      </c>
      <c r="E65" s="11" t="s">
        <v>474</v>
      </c>
      <c r="F65" s="11" t="s">
        <v>475</v>
      </c>
      <c r="G65" s="12">
        <v>8</v>
      </c>
      <c r="H65" s="12" t="s">
        <v>408</v>
      </c>
      <c r="I65" s="12">
        <v>0</v>
      </c>
      <c r="J65" s="12">
        <v>0</v>
      </c>
      <c r="K65" s="12">
        <f t="shared" si="0"/>
        <v>8</v>
      </c>
      <c r="L65" s="13" t="str">
        <f t="shared" si="1"/>
        <v>完全缺失</v>
      </c>
      <c r="M65" s="13" t="s">
        <v>69</v>
      </c>
      <c r="N65" s="11" t="s">
        <v>476</v>
      </c>
      <c r="O65" s="11" t="s">
        <v>445</v>
      </c>
      <c r="P65" s="11" t="s">
        <v>477</v>
      </c>
      <c r="Q65" s="11" t="s">
        <v>73</v>
      </c>
      <c r="R65" s="11" t="s">
        <v>467</v>
      </c>
    </row>
    <row r="66" ht="43" customHeight="1" spans="1:18">
      <c r="A66" s="10" t="s">
        <v>478</v>
      </c>
      <c r="B66" s="10" t="s">
        <v>15</v>
      </c>
      <c r="C66" s="10" t="s">
        <v>295</v>
      </c>
      <c r="D66" s="10" t="s">
        <v>14</v>
      </c>
      <c r="E66" s="11" t="s">
        <v>479</v>
      </c>
      <c r="F66" s="11" t="s">
        <v>480</v>
      </c>
      <c r="G66" s="12">
        <v>8</v>
      </c>
      <c r="H66" s="12" t="s">
        <v>52</v>
      </c>
      <c r="I66" s="12">
        <v>0</v>
      </c>
      <c r="J66" s="12">
        <v>0</v>
      </c>
      <c r="K66" s="12">
        <f t="shared" si="0"/>
        <v>8</v>
      </c>
      <c r="L66" s="13" t="str">
        <f t="shared" si="1"/>
        <v>完全缺失</v>
      </c>
      <c r="M66" s="13" t="s">
        <v>69</v>
      </c>
      <c r="N66" s="11" t="s">
        <v>471</v>
      </c>
      <c r="O66" s="11" t="s">
        <v>445</v>
      </c>
      <c r="P66" s="11" t="s">
        <v>481</v>
      </c>
      <c r="Q66" s="11" t="s">
        <v>73</v>
      </c>
      <c r="R66" s="11" t="s">
        <v>461</v>
      </c>
    </row>
    <row r="67" ht="43" customHeight="1" spans="1:18">
      <c r="A67" s="10" t="s">
        <v>482</v>
      </c>
      <c r="B67" s="10" t="s">
        <v>17</v>
      </c>
      <c r="C67" s="10" t="s">
        <v>295</v>
      </c>
      <c r="D67" s="10" t="s">
        <v>16</v>
      </c>
      <c r="E67" s="11" t="s">
        <v>483</v>
      </c>
      <c r="F67" s="11" t="s">
        <v>484</v>
      </c>
      <c r="G67" s="12">
        <v>9</v>
      </c>
      <c r="H67" s="12" t="s">
        <v>408</v>
      </c>
      <c r="I67" s="12">
        <v>0</v>
      </c>
      <c r="J67" s="12">
        <v>0</v>
      </c>
      <c r="K67" s="12">
        <f t="shared" si="0"/>
        <v>9</v>
      </c>
      <c r="L67" s="13" t="str">
        <f t="shared" si="1"/>
        <v>完全缺失</v>
      </c>
      <c r="M67" s="13" t="s">
        <v>69</v>
      </c>
      <c r="N67" s="11" t="s">
        <v>485</v>
      </c>
      <c r="O67" s="11" t="s">
        <v>445</v>
      </c>
      <c r="P67" s="11" t="s">
        <v>486</v>
      </c>
      <c r="Q67" s="11" t="s">
        <v>73</v>
      </c>
      <c r="R67" s="11" t="s">
        <v>467</v>
      </c>
    </row>
    <row r="68" ht="43" customHeight="1" spans="1:18">
      <c r="A68" s="10" t="s">
        <v>487</v>
      </c>
      <c r="B68" s="10" t="s">
        <v>17</v>
      </c>
      <c r="C68" s="10" t="s">
        <v>295</v>
      </c>
      <c r="D68" s="10" t="s">
        <v>14</v>
      </c>
      <c r="E68" s="11" t="s">
        <v>488</v>
      </c>
      <c r="F68" s="11" t="s">
        <v>489</v>
      </c>
      <c r="G68" s="12">
        <v>9</v>
      </c>
      <c r="H68" s="12" t="s">
        <v>52</v>
      </c>
      <c r="I68" s="12">
        <v>0</v>
      </c>
      <c r="J68" s="12">
        <v>0</v>
      </c>
      <c r="K68" s="12">
        <f t="shared" si="0"/>
        <v>9</v>
      </c>
      <c r="L68" s="13" t="str">
        <f t="shared" si="1"/>
        <v>完全缺失</v>
      </c>
      <c r="M68" s="13" t="s">
        <v>69</v>
      </c>
      <c r="N68" s="11" t="s">
        <v>490</v>
      </c>
      <c r="O68" s="11" t="s">
        <v>445</v>
      </c>
      <c r="P68" s="11" t="s">
        <v>491</v>
      </c>
      <c r="Q68" s="11" t="s">
        <v>73</v>
      </c>
      <c r="R68" s="11" t="s">
        <v>492</v>
      </c>
    </row>
    <row r="69" ht="43" customHeight="1" spans="1:18">
      <c r="A69" s="10" t="s">
        <v>493</v>
      </c>
      <c r="B69" s="10" t="s">
        <v>9</v>
      </c>
      <c r="C69" s="10" t="s">
        <v>49</v>
      </c>
      <c r="D69" s="10" t="s">
        <v>19</v>
      </c>
      <c r="E69" s="11" t="s">
        <v>494</v>
      </c>
      <c r="F69" s="11" t="s">
        <v>495</v>
      </c>
      <c r="G69" s="12">
        <v>1</v>
      </c>
      <c r="H69" s="12" t="s">
        <v>52</v>
      </c>
      <c r="I69" s="12">
        <v>0</v>
      </c>
      <c r="J69" s="12">
        <v>0</v>
      </c>
      <c r="K69" s="12">
        <f t="shared" si="0"/>
        <v>1</v>
      </c>
      <c r="L69" s="13" t="str">
        <f t="shared" si="1"/>
        <v>完全缺失</v>
      </c>
      <c r="M69" s="13" t="s">
        <v>91</v>
      </c>
      <c r="N69" s="11" t="s">
        <v>496</v>
      </c>
      <c r="O69" s="11" t="s">
        <v>497</v>
      </c>
      <c r="P69" s="11" t="s">
        <v>498</v>
      </c>
      <c r="Q69" s="11" t="s">
        <v>499</v>
      </c>
      <c r="R69" s="11" t="s">
        <v>500</v>
      </c>
    </row>
    <row r="70" ht="43" customHeight="1" spans="1:18">
      <c r="A70" s="10" t="s">
        <v>501</v>
      </c>
      <c r="B70" s="10" t="s">
        <v>9</v>
      </c>
      <c r="C70" s="10" t="s">
        <v>49</v>
      </c>
      <c r="D70" s="10" t="s">
        <v>19</v>
      </c>
      <c r="E70" s="11" t="s">
        <v>494</v>
      </c>
      <c r="F70" s="11" t="s">
        <v>502</v>
      </c>
      <c r="G70" s="12">
        <v>1</v>
      </c>
      <c r="H70" s="12" t="s">
        <v>52</v>
      </c>
      <c r="I70" s="12">
        <v>0</v>
      </c>
      <c r="J70" s="12">
        <v>0</v>
      </c>
      <c r="K70" s="12">
        <f t="shared" si="0"/>
        <v>1</v>
      </c>
      <c r="L70" s="13" t="str">
        <f t="shared" si="1"/>
        <v>完全缺失</v>
      </c>
      <c r="M70" s="13" t="s">
        <v>91</v>
      </c>
      <c r="N70" s="11" t="s">
        <v>503</v>
      </c>
      <c r="O70" s="11" t="s">
        <v>504</v>
      </c>
      <c r="P70" s="11" t="s">
        <v>505</v>
      </c>
      <c r="Q70" s="11" t="s">
        <v>73</v>
      </c>
      <c r="R70" s="11" t="s">
        <v>506</v>
      </c>
    </row>
    <row r="71" ht="43" customHeight="1" spans="1:18">
      <c r="A71" s="10" t="s">
        <v>507</v>
      </c>
      <c r="B71" s="10" t="s">
        <v>11</v>
      </c>
      <c r="C71" s="10" t="s">
        <v>49</v>
      </c>
      <c r="D71" s="10" t="s">
        <v>19</v>
      </c>
      <c r="E71" s="11" t="s">
        <v>508</v>
      </c>
      <c r="F71" s="11" t="s">
        <v>509</v>
      </c>
      <c r="G71" s="12">
        <v>12</v>
      </c>
      <c r="H71" s="12" t="s">
        <v>510</v>
      </c>
      <c r="I71" s="12">
        <v>0</v>
      </c>
      <c r="J71" s="12">
        <v>0</v>
      </c>
      <c r="K71" s="12">
        <f t="shared" ref="K71:K98" si="2">IF(G71&gt;I71,G71-I71,0)</f>
        <v>12</v>
      </c>
      <c r="L71" s="13" t="str">
        <f t="shared" ref="L71:L98" si="3">IF(I71&gt;=G71,"正式可用",IF(J71&gt;0,"有临时素材/仍需替换","完全缺失"))</f>
        <v>完全缺失</v>
      </c>
      <c r="M71" s="13" t="s">
        <v>91</v>
      </c>
      <c r="N71" s="11" t="s">
        <v>511</v>
      </c>
      <c r="O71" s="11" t="s">
        <v>512</v>
      </c>
      <c r="P71" s="11" t="s">
        <v>513</v>
      </c>
      <c r="Q71" s="11" t="s">
        <v>73</v>
      </c>
      <c r="R71" s="11" t="s">
        <v>514</v>
      </c>
    </row>
    <row r="72" ht="43" customHeight="1" spans="1:18">
      <c r="A72" s="10" t="s">
        <v>515</v>
      </c>
      <c r="B72" s="10" t="s">
        <v>11</v>
      </c>
      <c r="C72" s="10" t="s">
        <v>49</v>
      </c>
      <c r="D72" s="10" t="s">
        <v>19</v>
      </c>
      <c r="E72" s="11" t="s">
        <v>516</v>
      </c>
      <c r="F72" s="11" t="s">
        <v>517</v>
      </c>
      <c r="G72" s="12">
        <v>5</v>
      </c>
      <c r="H72" s="12" t="s">
        <v>510</v>
      </c>
      <c r="I72" s="12">
        <v>0</v>
      </c>
      <c r="J72" s="12">
        <v>0</v>
      </c>
      <c r="K72" s="12">
        <f t="shared" si="2"/>
        <v>5</v>
      </c>
      <c r="L72" s="13" t="str">
        <f t="shared" si="3"/>
        <v>完全缺失</v>
      </c>
      <c r="M72" s="13" t="s">
        <v>91</v>
      </c>
      <c r="N72" s="11" t="s">
        <v>518</v>
      </c>
      <c r="O72" s="11" t="s">
        <v>519</v>
      </c>
      <c r="P72" s="11" t="s">
        <v>520</v>
      </c>
      <c r="Q72" s="11" t="s">
        <v>73</v>
      </c>
      <c r="R72" s="11" t="s">
        <v>521</v>
      </c>
    </row>
    <row r="73" ht="43" customHeight="1" spans="1:18">
      <c r="A73" s="10" t="s">
        <v>522</v>
      </c>
      <c r="B73" s="10" t="s">
        <v>11</v>
      </c>
      <c r="C73" s="10" t="s">
        <v>49</v>
      </c>
      <c r="D73" s="10" t="s">
        <v>19</v>
      </c>
      <c r="E73" s="11" t="s">
        <v>523</v>
      </c>
      <c r="F73" s="11" t="s">
        <v>524</v>
      </c>
      <c r="G73" s="12">
        <v>1</v>
      </c>
      <c r="H73" s="12" t="s">
        <v>52</v>
      </c>
      <c r="I73" s="12">
        <v>0</v>
      </c>
      <c r="J73" s="12">
        <v>0</v>
      </c>
      <c r="K73" s="12">
        <f t="shared" si="2"/>
        <v>1</v>
      </c>
      <c r="L73" s="13" t="str">
        <f t="shared" si="3"/>
        <v>完全缺失</v>
      </c>
      <c r="M73" s="13" t="s">
        <v>91</v>
      </c>
      <c r="N73" s="11" t="s">
        <v>525</v>
      </c>
      <c r="O73" s="11" t="s">
        <v>526</v>
      </c>
      <c r="P73" s="11" t="s">
        <v>527</v>
      </c>
      <c r="Q73" s="11" t="s">
        <v>528</v>
      </c>
      <c r="R73" s="11" t="s">
        <v>529</v>
      </c>
    </row>
    <row r="74" ht="43" customHeight="1" spans="1:18">
      <c r="A74" s="10" t="s">
        <v>530</v>
      </c>
      <c r="B74" s="10" t="s">
        <v>11</v>
      </c>
      <c r="C74" s="10" t="s">
        <v>49</v>
      </c>
      <c r="D74" s="10" t="s">
        <v>19</v>
      </c>
      <c r="E74" s="11" t="s">
        <v>523</v>
      </c>
      <c r="F74" s="11" t="s">
        <v>531</v>
      </c>
      <c r="G74" s="12">
        <v>4</v>
      </c>
      <c r="H74" s="12" t="s">
        <v>99</v>
      </c>
      <c r="I74" s="12">
        <v>0</v>
      </c>
      <c r="J74" s="12">
        <v>0</v>
      </c>
      <c r="K74" s="12">
        <f t="shared" si="2"/>
        <v>4</v>
      </c>
      <c r="L74" s="13" t="str">
        <f t="shared" si="3"/>
        <v>完全缺失</v>
      </c>
      <c r="M74" s="13" t="s">
        <v>91</v>
      </c>
      <c r="N74" s="11" t="s">
        <v>532</v>
      </c>
      <c r="O74" s="11" t="s">
        <v>533</v>
      </c>
      <c r="P74" s="11" t="s">
        <v>534</v>
      </c>
      <c r="Q74" s="11" t="s">
        <v>73</v>
      </c>
      <c r="R74" s="11" t="s">
        <v>535</v>
      </c>
    </row>
    <row r="75" ht="43" customHeight="1" spans="1:18">
      <c r="A75" s="10" t="s">
        <v>536</v>
      </c>
      <c r="B75" s="10" t="s">
        <v>11</v>
      </c>
      <c r="C75" s="10" t="s">
        <v>67</v>
      </c>
      <c r="D75" s="10" t="s">
        <v>19</v>
      </c>
      <c r="E75" s="11" t="s">
        <v>523</v>
      </c>
      <c r="F75" s="11" t="s">
        <v>537</v>
      </c>
      <c r="G75" s="12">
        <v>1</v>
      </c>
      <c r="H75" s="12" t="s">
        <v>52</v>
      </c>
      <c r="I75" s="12">
        <v>0</v>
      </c>
      <c r="J75" s="12">
        <v>0</v>
      </c>
      <c r="K75" s="12">
        <f t="shared" si="2"/>
        <v>1</v>
      </c>
      <c r="L75" s="13" t="str">
        <f t="shared" si="3"/>
        <v>完全缺失</v>
      </c>
      <c r="M75" s="13" t="s">
        <v>69</v>
      </c>
      <c r="N75" s="11" t="s">
        <v>538</v>
      </c>
      <c r="O75" s="11" t="s">
        <v>539</v>
      </c>
      <c r="P75" s="11" t="s">
        <v>540</v>
      </c>
      <c r="Q75" s="11" t="s">
        <v>541</v>
      </c>
      <c r="R75" s="11" t="s">
        <v>542</v>
      </c>
    </row>
    <row r="76" ht="43" customHeight="1" spans="1:18">
      <c r="A76" s="10" t="s">
        <v>543</v>
      </c>
      <c r="B76" s="10" t="s">
        <v>11</v>
      </c>
      <c r="C76" s="10" t="s">
        <v>67</v>
      </c>
      <c r="D76" s="10" t="s">
        <v>19</v>
      </c>
      <c r="E76" s="11" t="s">
        <v>544</v>
      </c>
      <c r="F76" s="11" t="s">
        <v>545</v>
      </c>
      <c r="G76" s="12">
        <v>1</v>
      </c>
      <c r="H76" s="12" t="s">
        <v>52</v>
      </c>
      <c r="I76" s="12">
        <v>0</v>
      </c>
      <c r="J76" s="12">
        <v>0</v>
      </c>
      <c r="K76" s="12">
        <f t="shared" si="2"/>
        <v>1</v>
      </c>
      <c r="L76" s="13" t="str">
        <f t="shared" si="3"/>
        <v>完全缺失</v>
      </c>
      <c r="M76" s="13" t="s">
        <v>53</v>
      </c>
      <c r="N76" s="11" t="s">
        <v>546</v>
      </c>
      <c r="O76" s="11" t="s">
        <v>547</v>
      </c>
      <c r="P76" s="11" t="s">
        <v>548</v>
      </c>
      <c r="Q76" s="11" t="s">
        <v>73</v>
      </c>
      <c r="R76" s="11" t="s">
        <v>549</v>
      </c>
    </row>
    <row r="77" ht="43" customHeight="1" spans="1:18">
      <c r="A77" s="10" t="s">
        <v>550</v>
      </c>
      <c r="B77" s="10" t="s">
        <v>11</v>
      </c>
      <c r="C77" s="10" t="s">
        <v>67</v>
      </c>
      <c r="D77" s="10" t="s">
        <v>19</v>
      </c>
      <c r="E77" s="11" t="s">
        <v>551</v>
      </c>
      <c r="F77" s="11" t="s">
        <v>552</v>
      </c>
      <c r="G77" s="12">
        <v>1</v>
      </c>
      <c r="H77" s="12" t="s">
        <v>52</v>
      </c>
      <c r="I77" s="12">
        <v>0</v>
      </c>
      <c r="J77" s="12">
        <v>0</v>
      </c>
      <c r="K77" s="12">
        <f t="shared" si="2"/>
        <v>1</v>
      </c>
      <c r="L77" s="13" t="str">
        <f t="shared" si="3"/>
        <v>完全缺失</v>
      </c>
      <c r="M77" s="13" t="s">
        <v>53</v>
      </c>
      <c r="N77" s="11" t="s">
        <v>553</v>
      </c>
      <c r="O77" s="11" t="s">
        <v>554</v>
      </c>
      <c r="P77" s="11" t="s">
        <v>555</v>
      </c>
      <c r="Q77" s="11" t="s">
        <v>556</v>
      </c>
      <c r="R77" s="11" t="s">
        <v>557</v>
      </c>
    </row>
    <row r="78" ht="43" customHeight="1" spans="1:18">
      <c r="A78" s="10" t="s">
        <v>558</v>
      </c>
      <c r="B78" s="10" t="s">
        <v>13</v>
      </c>
      <c r="C78" s="10" t="s">
        <v>67</v>
      </c>
      <c r="D78" s="10" t="s">
        <v>19</v>
      </c>
      <c r="E78" s="11" t="s">
        <v>559</v>
      </c>
      <c r="F78" s="11" t="s">
        <v>560</v>
      </c>
      <c r="G78" s="12">
        <v>1</v>
      </c>
      <c r="H78" s="12" t="s">
        <v>52</v>
      </c>
      <c r="I78" s="12">
        <v>0</v>
      </c>
      <c r="J78" s="12">
        <v>0</v>
      </c>
      <c r="K78" s="12">
        <f t="shared" si="2"/>
        <v>1</v>
      </c>
      <c r="L78" s="13" t="str">
        <f t="shared" si="3"/>
        <v>完全缺失</v>
      </c>
      <c r="M78" s="13" t="s">
        <v>69</v>
      </c>
      <c r="N78" s="11" t="s">
        <v>561</v>
      </c>
      <c r="O78" s="11" t="s">
        <v>445</v>
      </c>
      <c r="P78" s="11" t="s">
        <v>562</v>
      </c>
      <c r="Q78" s="11" t="s">
        <v>73</v>
      </c>
      <c r="R78" s="11" t="s">
        <v>563</v>
      </c>
    </row>
    <row r="79" ht="43" customHeight="1" spans="1:18">
      <c r="A79" s="10" t="s">
        <v>564</v>
      </c>
      <c r="B79" s="10" t="s">
        <v>15</v>
      </c>
      <c r="C79" s="10" t="s">
        <v>295</v>
      </c>
      <c r="D79" s="10" t="s">
        <v>19</v>
      </c>
      <c r="E79" s="11" t="s">
        <v>565</v>
      </c>
      <c r="F79" s="11" t="s">
        <v>566</v>
      </c>
      <c r="G79" s="12">
        <v>1</v>
      </c>
      <c r="H79" s="12" t="s">
        <v>52</v>
      </c>
      <c r="I79" s="12">
        <v>0</v>
      </c>
      <c r="J79" s="12">
        <v>0</v>
      </c>
      <c r="K79" s="12">
        <f t="shared" si="2"/>
        <v>1</v>
      </c>
      <c r="L79" s="13" t="str">
        <f t="shared" si="3"/>
        <v>完全缺失</v>
      </c>
      <c r="M79" s="13" t="s">
        <v>69</v>
      </c>
      <c r="N79" s="11" t="s">
        <v>567</v>
      </c>
      <c r="O79" s="11" t="s">
        <v>445</v>
      </c>
      <c r="P79" s="11" t="s">
        <v>568</v>
      </c>
      <c r="Q79" s="11" t="s">
        <v>73</v>
      </c>
      <c r="R79" s="11" t="s">
        <v>535</v>
      </c>
    </row>
    <row r="80" ht="43" customHeight="1" spans="1:18">
      <c r="A80" s="10" t="s">
        <v>569</v>
      </c>
      <c r="B80" s="10" t="s">
        <v>15</v>
      </c>
      <c r="C80" s="10" t="s">
        <v>295</v>
      </c>
      <c r="D80" s="10" t="s">
        <v>19</v>
      </c>
      <c r="E80" s="11" t="s">
        <v>570</v>
      </c>
      <c r="F80" s="11" t="s">
        <v>571</v>
      </c>
      <c r="G80" s="12">
        <v>1</v>
      </c>
      <c r="H80" s="12" t="s">
        <v>52</v>
      </c>
      <c r="I80" s="12">
        <v>0</v>
      </c>
      <c r="J80" s="12">
        <v>0</v>
      </c>
      <c r="K80" s="12">
        <f t="shared" si="2"/>
        <v>1</v>
      </c>
      <c r="L80" s="13" t="str">
        <f t="shared" si="3"/>
        <v>完全缺失</v>
      </c>
      <c r="M80" s="13" t="s">
        <v>69</v>
      </c>
      <c r="N80" s="11" t="s">
        <v>572</v>
      </c>
      <c r="O80" s="11" t="s">
        <v>445</v>
      </c>
      <c r="P80" s="11" t="s">
        <v>573</v>
      </c>
      <c r="Q80" s="11" t="s">
        <v>73</v>
      </c>
      <c r="R80" s="11" t="s">
        <v>535</v>
      </c>
    </row>
    <row r="81" ht="43" customHeight="1" spans="1:18">
      <c r="A81" s="10" t="s">
        <v>574</v>
      </c>
      <c r="B81" s="10" t="s">
        <v>17</v>
      </c>
      <c r="C81" s="10" t="s">
        <v>295</v>
      </c>
      <c r="D81" s="10" t="s">
        <v>19</v>
      </c>
      <c r="E81" s="11" t="s">
        <v>575</v>
      </c>
      <c r="F81" s="11" t="s">
        <v>576</v>
      </c>
      <c r="G81" s="12">
        <v>1</v>
      </c>
      <c r="H81" s="12" t="s">
        <v>52</v>
      </c>
      <c r="I81" s="12">
        <v>0</v>
      </c>
      <c r="J81" s="12">
        <v>0</v>
      </c>
      <c r="K81" s="12">
        <f t="shared" si="2"/>
        <v>1</v>
      </c>
      <c r="L81" s="13" t="str">
        <f t="shared" si="3"/>
        <v>完全缺失</v>
      </c>
      <c r="M81" s="13" t="s">
        <v>69</v>
      </c>
      <c r="N81" s="11" t="s">
        <v>577</v>
      </c>
      <c r="O81" s="11" t="s">
        <v>445</v>
      </c>
      <c r="P81" s="11" t="s">
        <v>578</v>
      </c>
      <c r="Q81" s="11" t="s">
        <v>73</v>
      </c>
      <c r="R81" s="11" t="s">
        <v>535</v>
      </c>
    </row>
    <row r="82" ht="43" customHeight="1" spans="1:18">
      <c r="A82" s="10" t="s">
        <v>579</v>
      </c>
      <c r="B82" s="10" t="s">
        <v>11</v>
      </c>
      <c r="C82" s="10" t="s">
        <v>67</v>
      </c>
      <c r="D82" s="10" t="s">
        <v>8</v>
      </c>
      <c r="E82" s="11" t="s">
        <v>580</v>
      </c>
      <c r="F82" s="11" t="s">
        <v>581</v>
      </c>
      <c r="G82" s="12">
        <v>3</v>
      </c>
      <c r="H82" s="12" t="s">
        <v>127</v>
      </c>
      <c r="I82" s="12">
        <v>0</v>
      </c>
      <c r="J82" s="12">
        <v>0</v>
      </c>
      <c r="K82" s="12">
        <f t="shared" si="2"/>
        <v>3</v>
      </c>
      <c r="L82" s="13" t="str">
        <f t="shared" si="3"/>
        <v>完全缺失</v>
      </c>
      <c r="M82" s="13" t="s">
        <v>53</v>
      </c>
      <c r="N82" s="11" t="s">
        <v>582</v>
      </c>
      <c r="O82" s="11" t="s">
        <v>583</v>
      </c>
      <c r="P82" s="11" t="s">
        <v>584</v>
      </c>
      <c r="Q82" s="11" t="s">
        <v>73</v>
      </c>
      <c r="R82" s="11" t="s">
        <v>585</v>
      </c>
    </row>
    <row r="83" ht="43" customHeight="1" spans="1:18">
      <c r="A83" s="10" t="s">
        <v>586</v>
      </c>
      <c r="B83" s="10" t="s">
        <v>13</v>
      </c>
      <c r="C83" s="10" t="s">
        <v>295</v>
      </c>
      <c r="D83" s="10" t="s">
        <v>8</v>
      </c>
      <c r="E83" s="11" t="s">
        <v>580</v>
      </c>
      <c r="F83" s="11" t="s">
        <v>587</v>
      </c>
      <c r="G83" s="12">
        <v>3</v>
      </c>
      <c r="H83" s="12" t="s">
        <v>127</v>
      </c>
      <c r="I83" s="12">
        <v>0</v>
      </c>
      <c r="J83" s="12">
        <v>0</v>
      </c>
      <c r="K83" s="12">
        <f t="shared" si="2"/>
        <v>3</v>
      </c>
      <c r="L83" s="13" t="str">
        <f t="shared" si="3"/>
        <v>完全缺失</v>
      </c>
      <c r="M83" s="13" t="s">
        <v>69</v>
      </c>
      <c r="N83" s="11" t="s">
        <v>588</v>
      </c>
      <c r="O83" s="11" t="s">
        <v>445</v>
      </c>
      <c r="P83" s="11" t="s">
        <v>589</v>
      </c>
      <c r="Q83" s="11" t="s">
        <v>73</v>
      </c>
      <c r="R83" s="11" t="s">
        <v>590</v>
      </c>
    </row>
    <row r="84" ht="43" customHeight="1" spans="1:18">
      <c r="A84" s="10" t="s">
        <v>591</v>
      </c>
      <c r="B84" s="10" t="s">
        <v>15</v>
      </c>
      <c r="C84" s="10" t="s">
        <v>397</v>
      </c>
      <c r="D84" s="10" t="s">
        <v>8</v>
      </c>
      <c r="E84" s="11" t="s">
        <v>580</v>
      </c>
      <c r="F84" s="11" t="s">
        <v>592</v>
      </c>
      <c r="G84" s="12">
        <v>9</v>
      </c>
      <c r="H84" s="12" t="s">
        <v>127</v>
      </c>
      <c r="I84" s="12">
        <v>0</v>
      </c>
      <c r="J84" s="12">
        <v>0</v>
      </c>
      <c r="K84" s="12">
        <f t="shared" si="2"/>
        <v>9</v>
      </c>
      <c r="L84" s="13" t="str">
        <f t="shared" si="3"/>
        <v>完全缺失</v>
      </c>
      <c r="M84" s="13" t="s">
        <v>69</v>
      </c>
      <c r="N84" s="11" t="s">
        <v>593</v>
      </c>
      <c r="O84" s="11" t="s">
        <v>445</v>
      </c>
      <c r="P84" s="11" t="s">
        <v>594</v>
      </c>
      <c r="Q84" s="11" t="s">
        <v>73</v>
      </c>
      <c r="R84" s="11" t="s">
        <v>595</v>
      </c>
    </row>
    <row r="85" ht="43" customHeight="1" spans="1:18">
      <c r="A85" s="10" t="s">
        <v>596</v>
      </c>
      <c r="B85" s="10" t="s">
        <v>11</v>
      </c>
      <c r="C85" s="10" t="s">
        <v>49</v>
      </c>
      <c r="D85" s="10" t="s">
        <v>24</v>
      </c>
      <c r="E85" s="11" t="s">
        <v>597</v>
      </c>
      <c r="F85" s="11" t="s">
        <v>598</v>
      </c>
      <c r="G85" s="12">
        <v>6</v>
      </c>
      <c r="H85" s="12" t="s">
        <v>52</v>
      </c>
      <c r="I85" s="12">
        <v>0</v>
      </c>
      <c r="J85" s="12">
        <v>0</v>
      </c>
      <c r="K85" s="12">
        <f t="shared" si="2"/>
        <v>6</v>
      </c>
      <c r="L85" s="13" t="str">
        <f t="shared" si="3"/>
        <v>完全缺失</v>
      </c>
      <c r="M85" s="13" t="s">
        <v>91</v>
      </c>
      <c r="N85" s="11" t="s">
        <v>599</v>
      </c>
      <c r="O85" s="11" t="s">
        <v>600</v>
      </c>
      <c r="P85" s="11" t="s">
        <v>601</v>
      </c>
      <c r="Q85" s="11" t="s">
        <v>602</v>
      </c>
      <c r="R85" s="11" t="s">
        <v>603</v>
      </c>
    </row>
    <row r="86" ht="43" customHeight="1" spans="1:18">
      <c r="A86" s="10" t="s">
        <v>604</v>
      </c>
      <c r="B86" s="10" t="s">
        <v>11</v>
      </c>
      <c r="C86" s="10" t="s">
        <v>49</v>
      </c>
      <c r="D86" s="10" t="s">
        <v>24</v>
      </c>
      <c r="E86" s="11" t="s">
        <v>605</v>
      </c>
      <c r="F86" s="11" t="s">
        <v>606</v>
      </c>
      <c r="G86" s="12">
        <v>16</v>
      </c>
      <c r="H86" s="12" t="s">
        <v>52</v>
      </c>
      <c r="I86" s="12">
        <v>0</v>
      </c>
      <c r="J86" s="12">
        <v>0</v>
      </c>
      <c r="K86" s="12">
        <f t="shared" si="2"/>
        <v>16</v>
      </c>
      <c r="L86" s="13" t="str">
        <f t="shared" si="3"/>
        <v>完全缺失</v>
      </c>
      <c r="M86" s="13" t="s">
        <v>91</v>
      </c>
      <c r="N86" s="11" t="s">
        <v>607</v>
      </c>
      <c r="O86" s="11" t="s">
        <v>608</v>
      </c>
      <c r="P86" s="11" t="s">
        <v>609</v>
      </c>
      <c r="Q86" s="11" t="s">
        <v>610</v>
      </c>
      <c r="R86" s="11" t="s">
        <v>611</v>
      </c>
    </row>
    <row r="87" ht="43" customHeight="1" spans="1:18">
      <c r="A87" s="10" t="s">
        <v>612</v>
      </c>
      <c r="B87" s="10" t="s">
        <v>9</v>
      </c>
      <c r="C87" s="10" t="s">
        <v>49</v>
      </c>
      <c r="D87" s="10" t="s">
        <v>24</v>
      </c>
      <c r="E87" s="11" t="s">
        <v>613</v>
      </c>
      <c r="F87" s="11" t="s">
        <v>614</v>
      </c>
      <c r="G87" s="12">
        <v>12</v>
      </c>
      <c r="H87" s="12" t="s">
        <v>119</v>
      </c>
      <c r="I87" s="12">
        <v>0</v>
      </c>
      <c r="J87" s="12">
        <v>0</v>
      </c>
      <c r="K87" s="12">
        <f t="shared" si="2"/>
        <v>12</v>
      </c>
      <c r="L87" s="13" t="str">
        <f t="shared" si="3"/>
        <v>完全缺失</v>
      </c>
      <c r="M87" s="13" t="s">
        <v>91</v>
      </c>
      <c r="N87" s="11" t="s">
        <v>615</v>
      </c>
      <c r="O87" s="11" t="s">
        <v>616</v>
      </c>
      <c r="P87" s="11" t="s">
        <v>617</v>
      </c>
      <c r="Q87" s="11" t="s">
        <v>618</v>
      </c>
      <c r="R87" s="11" t="s">
        <v>619</v>
      </c>
    </row>
    <row r="88" ht="43" customHeight="1" spans="1:18">
      <c r="A88" s="10" t="s">
        <v>620</v>
      </c>
      <c r="B88" s="10" t="s">
        <v>11</v>
      </c>
      <c r="C88" s="10" t="s">
        <v>49</v>
      </c>
      <c r="D88" s="10" t="s">
        <v>24</v>
      </c>
      <c r="E88" s="11" t="s">
        <v>18</v>
      </c>
      <c r="F88" s="11" t="s">
        <v>621</v>
      </c>
      <c r="G88" s="12">
        <v>3</v>
      </c>
      <c r="H88" s="12" t="s">
        <v>52</v>
      </c>
      <c r="I88" s="12">
        <v>0</v>
      </c>
      <c r="J88" s="12">
        <v>0</v>
      </c>
      <c r="K88" s="12">
        <f t="shared" si="2"/>
        <v>3</v>
      </c>
      <c r="L88" s="13" t="str">
        <f t="shared" si="3"/>
        <v>完全缺失</v>
      </c>
      <c r="M88" s="13" t="s">
        <v>91</v>
      </c>
      <c r="N88" s="11" t="s">
        <v>622</v>
      </c>
      <c r="O88" s="11" t="s">
        <v>623</v>
      </c>
      <c r="P88" s="11" t="s">
        <v>624</v>
      </c>
      <c r="Q88" s="11" t="s">
        <v>73</v>
      </c>
      <c r="R88" s="11" t="s">
        <v>625</v>
      </c>
    </row>
    <row r="89" ht="43" customHeight="1" spans="1:18">
      <c r="A89" s="10" t="s">
        <v>626</v>
      </c>
      <c r="B89" s="10" t="s">
        <v>11</v>
      </c>
      <c r="C89" s="10" t="s">
        <v>67</v>
      </c>
      <c r="D89" s="10" t="s">
        <v>24</v>
      </c>
      <c r="E89" s="11" t="s">
        <v>627</v>
      </c>
      <c r="F89" s="11" t="s">
        <v>628</v>
      </c>
      <c r="G89" s="12">
        <v>2</v>
      </c>
      <c r="H89" s="12" t="s">
        <v>52</v>
      </c>
      <c r="I89" s="12">
        <v>0</v>
      </c>
      <c r="J89" s="12">
        <v>0</v>
      </c>
      <c r="K89" s="12">
        <f t="shared" si="2"/>
        <v>2</v>
      </c>
      <c r="L89" s="13" t="str">
        <f t="shared" si="3"/>
        <v>完全缺失</v>
      </c>
      <c r="M89" s="13" t="s">
        <v>53</v>
      </c>
      <c r="N89" s="11" t="s">
        <v>629</v>
      </c>
      <c r="O89" s="11" t="s">
        <v>630</v>
      </c>
      <c r="P89" s="11" t="s">
        <v>631</v>
      </c>
      <c r="Q89" s="11" t="s">
        <v>73</v>
      </c>
      <c r="R89" s="11" t="s">
        <v>632</v>
      </c>
    </row>
    <row r="90" ht="43" customHeight="1" spans="1:18">
      <c r="A90" s="10" t="s">
        <v>633</v>
      </c>
      <c r="B90" s="10" t="s">
        <v>9</v>
      </c>
      <c r="C90" s="10" t="s">
        <v>49</v>
      </c>
      <c r="D90" s="10" t="s">
        <v>24</v>
      </c>
      <c r="E90" s="11" t="s">
        <v>267</v>
      </c>
      <c r="F90" s="11" t="s">
        <v>634</v>
      </c>
      <c r="G90" s="12">
        <v>1</v>
      </c>
      <c r="H90" s="12" t="s">
        <v>52</v>
      </c>
      <c r="I90" s="12">
        <v>0</v>
      </c>
      <c r="J90" s="12">
        <v>0</v>
      </c>
      <c r="K90" s="12">
        <f t="shared" si="2"/>
        <v>1</v>
      </c>
      <c r="L90" s="13" t="str">
        <f t="shared" si="3"/>
        <v>完全缺失</v>
      </c>
      <c r="M90" s="13" t="s">
        <v>91</v>
      </c>
      <c r="N90" s="11" t="s">
        <v>635</v>
      </c>
      <c r="O90" s="11" t="s">
        <v>636</v>
      </c>
      <c r="P90" s="11" t="s">
        <v>637</v>
      </c>
      <c r="Q90" s="11" t="s">
        <v>638</v>
      </c>
      <c r="R90" s="11" t="s">
        <v>639</v>
      </c>
    </row>
    <row r="91" ht="43" customHeight="1" spans="1:18">
      <c r="A91" s="10" t="s">
        <v>640</v>
      </c>
      <c r="B91" s="10" t="s">
        <v>11</v>
      </c>
      <c r="C91" s="10" t="s">
        <v>67</v>
      </c>
      <c r="D91" s="10" t="s">
        <v>24</v>
      </c>
      <c r="E91" s="11" t="s">
        <v>641</v>
      </c>
      <c r="F91" s="11" t="s">
        <v>642</v>
      </c>
      <c r="G91" s="12">
        <v>1</v>
      </c>
      <c r="H91" s="12" t="s">
        <v>52</v>
      </c>
      <c r="I91" s="12">
        <v>0</v>
      </c>
      <c r="J91" s="12">
        <v>0</v>
      </c>
      <c r="K91" s="12">
        <f t="shared" si="2"/>
        <v>1</v>
      </c>
      <c r="L91" s="13" t="str">
        <f t="shared" si="3"/>
        <v>完全缺失</v>
      </c>
      <c r="M91" s="13" t="s">
        <v>53</v>
      </c>
      <c r="N91" s="11" t="s">
        <v>643</v>
      </c>
      <c r="O91" s="11" t="s">
        <v>644</v>
      </c>
      <c r="P91" s="11" t="s">
        <v>645</v>
      </c>
      <c r="Q91" s="11" t="s">
        <v>73</v>
      </c>
      <c r="R91" s="11" t="s">
        <v>646</v>
      </c>
    </row>
    <row r="92" ht="43" customHeight="1" spans="1:18">
      <c r="A92" s="10" t="s">
        <v>647</v>
      </c>
      <c r="B92" s="10" t="s">
        <v>11</v>
      </c>
      <c r="C92" s="10" t="s">
        <v>67</v>
      </c>
      <c r="D92" s="10" t="s">
        <v>24</v>
      </c>
      <c r="E92" s="11" t="s">
        <v>648</v>
      </c>
      <c r="F92" s="11" t="s">
        <v>649</v>
      </c>
      <c r="G92" s="12">
        <v>1</v>
      </c>
      <c r="H92" s="12" t="s">
        <v>52</v>
      </c>
      <c r="I92" s="12">
        <v>0</v>
      </c>
      <c r="J92" s="12">
        <v>0</v>
      </c>
      <c r="K92" s="12">
        <f t="shared" si="2"/>
        <v>1</v>
      </c>
      <c r="L92" s="13" t="str">
        <f t="shared" si="3"/>
        <v>完全缺失</v>
      </c>
      <c r="M92" s="13" t="s">
        <v>53</v>
      </c>
      <c r="N92" s="11" t="s">
        <v>650</v>
      </c>
      <c r="O92" s="11" t="s">
        <v>651</v>
      </c>
      <c r="P92" s="11" t="s">
        <v>652</v>
      </c>
      <c r="Q92" s="11" t="s">
        <v>73</v>
      </c>
      <c r="R92" s="11" t="s">
        <v>115</v>
      </c>
    </row>
    <row r="93" ht="43" customHeight="1" spans="1:18">
      <c r="A93" s="10" t="s">
        <v>653</v>
      </c>
      <c r="B93" s="10" t="s">
        <v>11</v>
      </c>
      <c r="C93" s="10" t="s">
        <v>295</v>
      </c>
      <c r="D93" s="10" t="s">
        <v>24</v>
      </c>
      <c r="E93" s="11" t="s">
        <v>654</v>
      </c>
      <c r="F93" s="11" t="s">
        <v>655</v>
      </c>
      <c r="G93" s="12">
        <v>4</v>
      </c>
      <c r="H93" s="12" t="s">
        <v>52</v>
      </c>
      <c r="I93" s="12">
        <v>0</v>
      </c>
      <c r="J93" s="12">
        <v>0</v>
      </c>
      <c r="K93" s="12">
        <f t="shared" si="2"/>
        <v>4</v>
      </c>
      <c r="L93" s="13" t="str">
        <f t="shared" si="3"/>
        <v>完全缺失</v>
      </c>
      <c r="M93" s="13" t="s">
        <v>69</v>
      </c>
      <c r="N93" s="11" t="s">
        <v>656</v>
      </c>
      <c r="O93" s="11" t="s">
        <v>657</v>
      </c>
      <c r="P93" s="11" t="s">
        <v>658</v>
      </c>
      <c r="Q93" s="11" t="s">
        <v>659</v>
      </c>
      <c r="R93" s="11" t="s">
        <v>660</v>
      </c>
    </row>
    <row r="94" ht="43" customHeight="1" spans="1:18">
      <c r="A94" s="10" t="s">
        <v>661</v>
      </c>
      <c r="B94" s="10" t="s">
        <v>11</v>
      </c>
      <c r="C94" s="10" t="s">
        <v>49</v>
      </c>
      <c r="D94" s="10" t="s">
        <v>24</v>
      </c>
      <c r="E94" s="11" t="s">
        <v>662</v>
      </c>
      <c r="F94" s="11" t="s">
        <v>663</v>
      </c>
      <c r="G94" s="12">
        <v>1</v>
      </c>
      <c r="H94" s="12" t="s">
        <v>52</v>
      </c>
      <c r="I94" s="12">
        <v>0</v>
      </c>
      <c r="J94" s="12">
        <v>0</v>
      </c>
      <c r="K94" s="12">
        <f t="shared" si="2"/>
        <v>1</v>
      </c>
      <c r="L94" s="13" t="str">
        <f t="shared" si="3"/>
        <v>完全缺失</v>
      </c>
      <c r="M94" s="13" t="s">
        <v>91</v>
      </c>
      <c r="N94" s="11" t="s">
        <v>664</v>
      </c>
      <c r="O94" s="11" t="s">
        <v>665</v>
      </c>
      <c r="P94" s="11" t="s">
        <v>666</v>
      </c>
      <c r="Q94" s="11" t="s">
        <v>667</v>
      </c>
      <c r="R94" s="11" t="s">
        <v>668</v>
      </c>
    </row>
    <row r="95" ht="43" customHeight="1" spans="1:18">
      <c r="A95" s="10" t="s">
        <v>669</v>
      </c>
      <c r="B95" s="10" t="s">
        <v>11</v>
      </c>
      <c r="C95" s="10" t="s">
        <v>67</v>
      </c>
      <c r="D95" s="10" t="s">
        <v>25</v>
      </c>
      <c r="E95" s="11" t="s">
        <v>670</v>
      </c>
      <c r="F95" s="11" t="s">
        <v>671</v>
      </c>
      <c r="G95" s="12">
        <v>1</v>
      </c>
      <c r="H95" s="12" t="s">
        <v>119</v>
      </c>
      <c r="I95" s="12">
        <v>0</v>
      </c>
      <c r="J95" s="12">
        <v>0</v>
      </c>
      <c r="K95" s="12">
        <f t="shared" si="2"/>
        <v>1</v>
      </c>
      <c r="L95" s="13" t="str">
        <f t="shared" si="3"/>
        <v>完全缺失</v>
      </c>
      <c r="M95" s="13" t="s">
        <v>53</v>
      </c>
      <c r="N95" s="11" t="s">
        <v>672</v>
      </c>
      <c r="O95" s="11" t="s">
        <v>673</v>
      </c>
      <c r="P95" s="11" t="s">
        <v>674</v>
      </c>
      <c r="Q95" s="11" t="s">
        <v>675</v>
      </c>
      <c r="R95" s="11" t="s">
        <v>676</v>
      </c>
    </row>
    <row r="96" ht="43" customHeight="1" spans="1:18">
      <c r="A96" s="10" t="s">
        <v>677</v>
      </c>
      <c r="B96" s="10" t="s">
        <v>11</v>
      </c>
      <c r="C96" s="10" t="s">
        <v>295</v>
      </c>
      <c r="D96" s="10" t="s">
        <v>25</v>
      </c>
      <c r="E96" s="11" t="s">
        <v>678</v>
      </c>
      <c r="F96" s="11" t="s">
        <v>679</v>
      </c>
      <c r="G96" s="12">
        <v>1</v>
      </c>
      <c r="H96" s="12" t="s">
        <v>127</v>
      </c>
      <c r="I96" s="12">
        <v>0</v>
      </c>
      <c r="J96" s="12">
        <v>0</v>
      </c>
      <c r="K96" s="12">
        <f t="shared" si="2"/>
        <v>1</v>
      </c>
      <c r="L96" s="13" t="str">
        <f t="shared" si="3"/>
        <v>完全缺失</v>
      </c>
      <c r="M96" s="13" t="s">
        <v>69</v>
      </c>
      <c r="N96" s="11" t="s">
        <v>680</v>
      </c>
      <c r="O96" s="11" t="s">
        <v>681</v>
      </c>
      <c r="P96" s="11" t="s">
        <v>682</v>
      </c>
      <c r="Q96" s="11" t="s">
        <v>675</v>
      </c>
      <c r="R96" s="11" t="s">
        <v>683</v>
      </c>
    </row>
    <row r="97" ht="43" customHeight="1" spans="1:18">
      <c r="A97" s="10" t="s">
        <v>684</v>
      </c>
      <c r="B97" s="10" t="s">
        <v>17</v>
      </c>
      <c r="C97" s="10" t="s">
        <v>397</v>
      </c>
      <c r="D97" s="10" t="s">
        <v>26</v>
      </c>
      <c r="E97" s="11" t="s">
        <v>685</v>
      </c>
      <c r="F97" s="11" t="s">
        <v>686</v>
      </c>
      <c r="G97" s="12">
        <v>1</v>
      </c>
      <c r="H97" s="12" t="s">
        <v>52</v>
      </c>
      <c r="I97" s="12">
        <v>0</v>
      </c>
      <c r="J97" s="12">
        <v>0</v>
      </c>
      <c r="K97" s="12">
        <f t="shared" si="2"/>
        <v>1</v>
      </c>
      <c r="L97" s="13" t="str">
        <f t="shared" si="3"/>
        <v>完全缺失</v>
      </c>
      <c r="M97" s="13" t="s">
        <v>69</v>
      </c>
      <c r="N97" s="11" t="s">
        <v>687</v>
      </c>
      <c r="O97" s="11" t="s">
        <v>688</v>
      </c>
      <c r="P97" s="11" t="s">
        <v>689</v>
      </c>
      <c r="Q97" s="11" t="s">
        <v>690</v>
      </c>
      <c r="R97" s="11" t="s">
        <v>691</v>
      </c>
    </row>
    <row r="98" ht="43" customHeight="1" spans="1:18">
      <c r="A98" s="14" t="s">
        <v>692</v>
      </c>
      <c r="B98" s="14" t="s">
        <v>17</v>
      </c>
      <c r="C98" s="14" t="s">
        <v>397</v>
      </c>
      <c r="D98" s="14" t="s">
        <v>27</v>
      </c>
      <c r="E98" s="15" t="s">
        <v>693</v>
      </c>
      <c r="F98" s="15" t="s">
        <v>694</v>
      </c>
      <c r="G98" s="16">
        <v>3</v>
      </c>
      <c r="H98" s="16" t="s">
        <v>127</v>
      </c>
      <c r="I98" s="16">
        <v>0</v>
      </c>
      <c r="J98" s="16">
        <v>0</v>
      </c>
      <c r="K98" s="16">
        <f t="shared" si="2"/>
        <v>3</v>
      </c>
      <c r="L98" s="17" t="str">
        <f t="shared" si="3"/>
        <v>完全缺失</v>
      </c>
      <c r="M98" s="17" t="s">
        <v>69</v>
      </c>
      <c r="N98" s="15" t="s">
        <v>695</v>
      </c>
      <c r="O98" s="15" t="s">
        <v>696</v>
      </c>
      <c r="P98" s="15" t="s">
        <v>697</v>
      </c>
      <c r="Q98" s="15" t="s">
        <v>675</v>
      </c>
      <c r="R98" s="15" t="s">
        <v>132</v>
      </c>
    </row>
  </sheetData>
  <mergeCells count="3">
    <mergeCell ref="A1:R1"/>
    <mergeCell ref="A2:R2"/>
    <mergeCell ref="A4:R4"/>
  </mergeCells>
  <conditionalFormatting sqref="C7:C98">
    <cfRule type="containsText" dxfId="0" priority="1" operator="between" text="P0-立即">
      <formula>NOT(ISERROR(SEARCH("P0-立即",C7)))</formula>
    </cfRule>
    <cfRule type="containsText" dxfId="1" priority="2" operator="between" text="P1-高">
      <formula>NOT(ISERROR(SEARCH("P1-高",C7)))</formula>
    </cfRule>
  </conditionalFormatting>
  <conditionalFormatting sqref="L7:L98">
    <cfRule type="containsText" dxfId="2" priority="3" operator="between" text="完全缺失">
      <formula>NOT(ISERROR(SEARCH("完全缺失",L7)))</formula>
    </cfRule>
    <cfRule type="containsText" dxfId="3" priority="4" operator="between" text="有临时素材">
      <formula>NOT(ISERROR(SEARCH("有临时素材",L7)))</formula>
    </cfRule>
  </conditionalFormatting>
  <conditionalFormatting sqref="M7:M98">
    <cfRule type="containsText" dxfId="0" priority="5" operator="between" text="是">
      <formula>NOT(ISERROR(SEARCH("是",M7)))</formula>
    </cfRule>
    <cfRule type="containsText" dxfId="3" priority="6" operator="between" text="部分">
      <formula>NOT(ISERROR(SEARCH("部分",M7)))</formula>
    </cfRule>
  </conditionalFormatting>
  <dataValidations count="3">
    <dataValidation type="list" sqref="B7:B98">
      <formula1>"P1核心闭环,P2公开Demo,P3A地图2,P3B五图MVP,P3C五图MVP"</formula1>
    </dataValidation>
    <dataValidation type="list" sqref="C7:C98">
      <formula1>"P0-立即,P1-高,P2-中,P3-远期"</formula1>
    </dataValidation>
    <dataValidation type="list" sqref="M7:M98">
      <formula1>"是,部分,否"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GridLines="0" workbookViewId="0">
      <selection activeCell="A1" sqref="A1:I1"/>
    </sheetView>
  </sheetViews>
  <sheetFormatPr defaultColWidth="9" defaultRowHeight="14.25"/>
  <cols>
    <col min="1" max="1" width="18" customWidth="1"/>
    <col min="2" max="2" width="28" customWidth="1"/>
    <col min="3" max="3" width="9" customWidth="1"/>
    <col min="4" max="4" width="24" customWidth="1"/>
    <col min="5" max="5" width="15" customWidth="1"/>
    <col min="6" max="6" width="17" customWidth="1"/>
    <col min="7" max="7" width="40" customWidth="1"/>
    <col min="8" max="8" width="36" customWidth="1"/>
    <col min="9" max="9" width="38" customWidth="1"/>
  </cols>
  <sheetData>
    <row r="1" ht="34" customHeight="1" spans="1:9">
      <c r="A1" s="1" t="s">
        <v>698</v>
      </c>
      <c r="B1" s="1"/>
      <c r="C1" s="1"/>
      <c r="D1" s="1"/>
      <c r="E1" s="1"/>
      <c r="F1" s="1"/>
      <c r="G1" s="1"/>
      <c r="H1" s="1"/>
      <c r="I1" s="1"/>
    </row>
    <row r="2" ht="25" customHeight="1" spans="1:9">
      <c r="A2" s="2" t="s">
        <v>699</v>
      </c>
      <c r="B2" s="2"/>
      <c r="C2" s="2"/>
      <c r="D2" s="2"/>
      <c r="E2" s="2"/>
      <c r="F2" s="2"/>
      <c r="G2" s="2"/>
      <c r="H2" s="2"/>
      <c r="I2" s="2"/>
    </row>
    <row r="3" ht="16.5" spans="1:9">
      <c r="A3" s="3"/>
      <c r="B3" s="3"/>
      <c r="C3" s="3"/>
      <c r="D3" s="3"/>
      <c r="E3" s="3"/>
      <c r="F3" s="3"/>
      <c r="G3" s="3"/>
      <c r="H3" s="3"/>
      <c r="I3" s="3"/>
    </row>
    <row r="4" ht="16.5" spans="1:9">
      <c r="A4" s="4" t="s">
        <v>700</v>
      </c>
      <c r="B4" s="4" t="s">
        <v>701</v>
      </c>
      <c r="C4" s="4" t="s">
        <v>702</v>
      </c>
      <c r="D4" s="4" t="s">
        <v>703</v>
      </c>
      <c r="E4" s="4" t="s">
        <v>704</v>
      </c>
      <c r="F4" s="4" t="s">
        <v>705</v>
      </c>
      <c r="G4" s="4" t="s">
        <v>706</v>
      </c>
      <c r="H4" s="4" t="s">
        <v>707</v>
      </c>
      <c r="I4" s="4" t="s">
        <v>708</v>
      </c>
    </row>
    <row r="5" ht="40" customHeight="1" spans="1:9">
      <c r="A5" s="3" t="s">
        <v>26</v>
      </c>
      <c r="B5" s="3" t="s">
        <v>709</v>
      </c>
      <c r="C5" s="3">
        <v>1</v>
      </c>
      <c r="D5" s="3" t="s">
        <v>710</v>
      </c>
      <c r="E5" s="3" t="s">
        <v>91</v>
      </c>
      <c r="F5" s="3" t="s">
        <v>711</v>
      </c>
      <c r="G5" s="3" t="s">
        <v>712</v>
      </c>
      <c r="H5" s="3" t="s">
        <v>713</v>
      </c>
      <c r="I5" s="3" t="s">
        <v>714</v>
      </c>
    </row>
    <row r="6" ht="40" customHeight="1" spans="1:9">
      <c r="A6" s="3" t="s">
        <v>715</v>
      </c>
      <c r="B6" s="3" t="s">
        <v>716</v>
      </c>
      <c r="C6" s="3">
        <v>6</v>
      </c>
      <c r="D6" s="3" t="s">
        <v>717</v>
      </c>
      <c r="E6" s="3" t="s">
        <v>91</v>
      </c>
      <c r="F6" s="3" t="s">
        <v>718</v>
      </c>
      <c r="G6" s="3" t="s">
        <v>719</v>
      </c>
      <c r="H6" s="3" t="s">
        <v>720</v>
      </c>
      <c r="I6" s="3" t="s">
        <v>721</v>
      </c>
    </row>
    <row r="7" ht="40" customHeight="1" spans="1:9">
      <c r="A7" s="3" t="s">
        <v>722</v>
      </c>
      <c r="B7" s="3" t="s">
        <v>723</v>
      </c>
      <c r="C7" s="3">
        <v>3</v>
      </c>
      <c r="D7" s="3" t="s">
        <v>724</v>
      </c>
      <c r="E7" s="3" t="s">
        <v>725</v>
      </c>
      <c r="F7" s="3" t="s">
        <v>69</v>
      </c>
      <c r="G7" s="3" t="s">
        <v>726</v>
      </c>
      <c r="H7" s="3" t="s">
        <v>727</v>
      </c>
      <c r="I7" s="3" t="s">
        <v>728</v>
      </c>
    </row>
    <row r="8" ht="40" customHeight="1" spans="1:9">
      <c r="A8" s="3" t="s">
        <v>729</v>
      </c>
      <c r="B8" s="3" t="s">
        <v>730</v>
      </c>
      <c r="C8" s="3">
        <v>1</v>
      </c>
      <c r="D8" s="3" t="s">
        <v>731</v>
      </c>
      <c r="E8" s="3" t="s">
        <v>91</v>
      </c>
      <c r="F8" s="3" t="s">
        <v>69</v>
      </c>
      <c r="G8" s="3" t="s">
        <v>732</v>
      </c>
      <c r="H8" s="3" t="s">
        <v>733</v>
      </c>
      <c r="I8" s="3" t="s">
        <v>734</v>
      </c>
    </row>
    <row r="9" ht="40" customHeight="1" spans="1:9">
      <c r="A9" s="3" t="s">
        <v>729</v>
      </c>
      <c r="B9" s="3" t="s">
        <v>735</v>
      </c>
      <c r="C9" s="3">
        <v>1</v>
      </c>
      <c r="D9" s="3" t="s">
        <v>736</v>
      </c>
      <c r="E9" s="3" t="s">
        <v>91</v>
      </c>
      <c r="F9" s="3" t="s">
        <v>69</v>
      </c>
      <c r="G9" s="3" t="s">
        <v>737</v>
      </c>
      <c r="H9" s="3" t="s">
        <v>738</v>
      </c>
      <c r="I9" s="3" t="s">
        <v>739</v>
      </c>
    </row>
    <row r="10" ht="40" customHeight="1" spans="1:9">
      <c r="A10" s="3" t="s">
        <v>740</v>
      </c>
      <c r="B10" s="3" t="s">
        <v>741</v>
      </c>
      <c r="C10" s="3">
        <v>2</v>
      </c>
      <c r="D10" s="3" t="s">
        <v>742</v>
      </c>
      <c r="E10" s="3" t="s">
        <v>91</v>
      </c>
      <c r="F10" s="3" t="s">
        <v>69</v>
      </c>
      <c r="G10" s="3" t="s">
        <v>743</v>
      </c>
      <c r="H10" s="3" t="s">
        <v>744</v>
      </c>
      <c r="I10" s="3" t="s">
        <v>745</v>
      </c>
    </row>
    <row r="11" ht="40" customHeight="1" spans="1:9">
      <c r="A11" s="3" t="s">
        <v>746</v>
      </c>
      <c r="B11" s="3" t="s">
        <v>747</v>
      </c>
      <c r="C11" s="3">
        <v>0</v>
      </c>
      <c r="D11" s="3" t="s">
        <v>748</v>
      </c>
      <c r="E11" s="3" t="s">
        <v>69</v>
      </c>
      <c r="F11" s="3" t="s">
        <v>69</v>
      </c>
      <c r="G11" s="3" t="s">
        <v>749</v>
      </c>
      <c r="H11" s="3" t="s">
        <v>750</v>
      </c>
      <c r="I11" s="3" t="s">
        <v>751</v>
      </c>
    </row>
    <row r="12" ht="40" customHeight="1" spans="1:9">
      <c r="A12" s="3" t="s">
        <v>746</v>
      </c>
      <c r="B12" s="3" t="s">
        <v>752</v>
      </c>
      <c r="C12" s="3">
        <v>0</v>
      </c>
      <c r="D12" s="3" t="s">
        <v>748</v>
      </c>
      <c r="E12" s="3" t="s">
        <v>69</v>
      </c>
      <c r="F12" s="3" t="s">
        <v>69</v>
      </c>
      <c r="G12" s="3" t="s">
        <v>753</v>
      </c>
      <c r="H12" s="3" t="s">
        <v>750</v>
      </c>
      <c r="I12" s="3" t="s">
        <v>754</v>
      </c>
    </row>
    <row r="13" ht="40" customHeight="1" spans="1:9">
      <c r="A13" s="3" t="s">
        <v>755</v>
      </c>
      <c r="B13" s="3" t="s">
        <v>756</v>
      </c>
      <c r="C13" s="3">
        <v>0</v>
      </c>
      <c r="D13" s="3" t="s">
        <v>757</v>
      </c>
      <c r="E13" s="3" t="s">
        <v>758</v>
      </c>
      <c r="F13" s="3" t="s">
        <v>69</v>
      </c>
      <c r="G13" s="3" t="s">
        <v>759</v>
      </c>
      <c r="H13" s="3" t="s">
        <v>760</v>
      </c>
      <c r="I13" s="3" t="s">
        <v>761</v>
      </c>
    </row>
    <row r="14" ht="40" customHeight="1" spans="1:9">
      <c r="A14" s="3" t="s">
        <v>755</v>
      </c>
      <c r="B14" s="3" t="s">
        <v>762</v>
      </c>
      <c r="C14" s="3">
        <v>0</v>
      </c>
      <c r="D14" s="3" t="s">
        <v>763</v>
      </c>
      <c r="E14" s="3" t="s">
        <v>758</v>
      </c>
      <c r="F14" s="3" t="s">
        <v>69</v>
      </c>
      <c r="G14" s="3" t="s">
        <v>759</v>
      </c>
      <c r="H14" s="3" t="s">
        <v>764</v>
      </c>
      <c r="I14" s="3" t="s">
        <v>765</v>
      </c>
    </row>
    <row r="15" ht="40" customHeight="1" spans="1:9">
      <c r="A15" s="3" t="s">
        <v>755</v>
      </c>
      <c r="B15" s="3" t="s">
        <v>766</v>
      </c>
      <c r="C15" s="3">
        <v>0</v>
      </c>
      <c r="D15" s="3" t="s">
        <v>767</v>
      </c>
      <c r="E15" s="3" t="s">
        <v>758</v>
      </c>
      <c r="F15" s="3" t="s">
        <v>69</v>
      </c>
      <c r="G15" s="3" t="s">
        <v>759</v>
      </c>
      <c r="H15" s="3" t="s">
        <v>764</v>
      </c>
      <c r="I15" s="3" t="s">
        <v>768</v>
      </c>
    </row>
    <row r="16" ht="40" customHeight="1" spans="1:9">
      <c r="A16" s="3" t="s">
        <v>755</v>
      </c>
      <c r="B16" s="3" t="s">
        <v>769</v>
      </c>
      <c r="C16" s="3">
        <v>0</v>
      </c>
      <c r="D16" s="3" t="s">
        <v>770</v>
      </c>
      <c r="E16" s="3" t="s">
        <v>758</v>
      </c>
      <c r="F16" s="3" t="s">
        <v>69</v>
      </c>
      <c r="G16" s="3" t="s">
        <v>759</v>
      </c>
      <c r="H16" s="3" t="s">
        <v>764</v>
      </c>
      <c r="I16" s="3" t="s">
        <v>771</v>
      </c>
    </row>
    <row r="17" ht="40" customHeight="1" spans="1:9">
      <c r="A17" s="3" t="s">
        <v>755</v>
      </c>
      <c r="B17" s="3" t="s">
        <v>772</v>
      </c>
      <c r="C17" s="3">
        <v>0</v>
      </c>
      <c r="D17" s="3" t="s">
        <v>773</v>
      </c>
      <c r="E17" s="3" t="s">
        <v>758</v>
      </c>
      <c r="F17" s="3" t="s">
        <v>69</v>
      </c>
      <c r="G17" s="3" t="s">
        <v>759</v>
      </c>
      <c r="H17" s="3" t="s">
        <v>764</v>
      </c>
      <c r="I17" s="3" t="s">
        <v>774</v>
      </c>
    </row>
    <row r="18" ht="40" customHeight="1" spans="1:9">
      <c r="A18" s="3" t="s">
        <v>755</v>
      </c>
      <c r="B18" s="3" t="s">
        <v>775</v>
      </c>
      <c r="C18" s="3">
        <v>0</v>
      </c>
      <c r="D18" s="3" t="s">
        <v>776</v>
      </c>
      <c r="E18" s="3" t="s">
        <v>758</v>
      </c>
      <c r="F18" s="3" t="s">
        <v>69</v>
      </c>
      <c r="G18" s="3" t="s">
        <v>759</v>
      </c>
      <c r="H18" s="3" t="s">
        <v>764</v>
      </c>
      <c r="I18" s="3" t="s">
        <v>777</v>
      </c>
    </row>
    <row r="19" ht="40" customHeight="1" spans="1:9">
      <c r="A19" s="3" t="s">
        <v>755</v>
      </c>
      <c r="B19" s="3" t="s">
        <v>778</v>
      </c>
      <c r="C19" s="3">
        <v>0</v>
      </c>
      <c r="D19" s="3" t="s">
        <v>779</v>
      </c>
      <c r="E19" s="3" t="s">
        <v>758</v>
      </c>
      <c r="F19" s="3" t="s">
        <v>69</v>
      </c>
      <c r="G19" s="3" t="s">
        <v>780</v>
      </c>
      <c r="H19" s="3" t="s">
        <v>764</v>
      </c>
      <c r="I19" s="3" t="s">
        <v>781</v>
      </c>
    </row>
    <row r="20" ht="40" customHeight="1" spans="1:9">
      <c r="A20" s="3" t="s">
        <v>755</v>
      </c>
      <c r="B20" s="3" t="s">
        <v>782</v>
      </c>
      <c r="C20" s="3">
        <v>0</v>
      </c>
      <c r="D20" s="3" t="s">
        <v>783</v>
      </c>
      <c r="E20" s="3" t="s">
        <v>758</v>
      </c>
      <c r="F20" s="3" t="s">
        <v>69</v>
      </c>
      <c r="G20" s="3" t="s">
        <v>784</v>
      </c>
      <c r="H20" s="3" t="s">
        <v>764</v>
      </c>
      <c r="I20" s="3" t="s">
        <v>785</v>
      </c>
    </row>
  </sheetData>
  <mergeCells count="2">
    <mergeCell ref="A1:I1"/>
    <mergeCell ref="A2:I2"/>
  </mergeCells>
  <conditionalFormatting sqref="E5:E20">
    <cfRule type="containsText" dxfId="4" priority="2" operator="between" text="是">
      <formula>NOT(ISERROR(SEARCH("是",E5)))</formula>
    </cfRule>
  </conditionalFormatting>
  <conditionalFormatting sqref="F5:F20">
    <cfRule type="containsText" dxfId="2" priority="1" operator="between" text="否">
      <formula>NOT(ISERROR(SEARCH("否",F5)))</formula>
    </cfRule>
  </conditionalFormatting>
  <pageMargins left="0.7" right="0.7" top="0.75" bottom="0.75" header="0.3" footer="0.3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showGridLines="0" workbookViewId="0">
      <selection activeCell="A1" sqref="A1:D1"/>
    </sheetView>
  </sheetViews>
  <sheetFormatPr defaultColWidth="9" defaultRowHeight="14.25" outlineLevelCol="3"/>
  <cols>
    <col min="1" max="1" width="18" customWidth="1"/>
    <col min="2" max="2" width="25" customWidth="1"/>
    <col min="3" max="3" width="36" customWidth="1"/>
    <col min="4" max="4" width="62" customWidth="1"/>
  </cols>
  <sheetData>
    <row r="1" ht="34" customHeight="1" spans="1:4">
      <c r="A1" s="1" t="s">
        <v>786</v>
      </c>
      <c r="B1" s="1"/>
      <c r="C1" s="1"/>
      <c r="D1" s="1"/>
    </row>
    <row r="2" ht="25" customHeight="1" spans="1:4">
      <c r="A2" s="2" t="s">
        <v>787</v>
      </c>
      <c r="B2" s="2"/>
      <c r="C2" s="2"/>
      <c r="D2" s="2"/>
    </row>
    <row r="3" ht="16.5" spans="1:4">
      <c r="A3" s="3"/>
      <c r="B3" s="3"/>
      <c r="C3" s="3"/>
      <c r="D3" s="3"/>
    </row>
    <row r="4" ht="16.5" spans="1:4">
      <c r="A4" s="4" t="s">
        <v>788</v>
      </c>
      <c r="B4" s="4" t="s">
        <v>789</v>
      </c>
      <c r="C4" s="4" t="s">
        <v>790</v>
      </c>
      <c r="D4" s="4" t="s">
        <v>791</v>
      </c>
    </row>
    <row r="5" ht="35" customHeight="1" spans="1:4">
      <c r="A5" s="3" t="s">
        <v>792</v>
      </c>
      <c r="B5" s="3" t="s">
        <v>793</v>
      </c>
      <c r="C5" s="3" t="s">
        <v>794</v>
      </c>
      <c r="D5" s="3" t="s">
        <v>795</v>
      </c>
    </row>
    <row r="6" ht="35" customHeight="1" spans="1:4">
      <c r="A6" s="3" t="s">
        <v>796</v>
      </c>
      <c r="B6" s="3" t="s">
        <v>797</v>
      </c>
      <c r="C6" s="3" t="s">
        <v>798</v>
      </c>
      <c r="D6" s="3" t="s">
        <v>799</v>
      </c>
    </row>
    <row r="7" ht="35" customHeight="1" spans="1:4">
      <c r="A7" s="3" t="s">
        <v>800</v>
      </c>
      <c r="B7" s="3" t="s">
        <v>801</v>
      </c>
      <c r="C7" s="3" t="s">
        <v>802</v>
      </c>
      <c r="D7" s="3" t="s">
        <v>803</v>
      </c>
    </row>
    <row r="8" ht="35" customHeight="1" spans="1:4">
      <c r="A8" s="3" t="s">
        <v>804</v>
      </c>
      <c r="B8" s="3" t="s">
        <v>805</v>
      </c>
      <c r="C8" s="3" t="s">
        <v>806</v>
      </c>
      <c r="D8" s="3" t="s">
        <v>807</v>
      </c>
    </row>
    <row r="9" ht="35" customHeight="1" spans="1:4">
      <c r="A9" s="3" t="s">
        <v>808</v>
      </c>
      <c r="B9" s="3" t="s">
        <v>809</v>
      </c>
      <c r="C9" s="3" t="s">
        <v>810</v>
      </c>
      <c r="D9" s="3" t="s">
        <v>811</v>
      </c>
    </row>
    <row r="10" ht="35" customHeight="1" spans="1:4">
      <c r="A10" s="3" t="s">
        <v>812</v>
      </c>
      <c r="B10" s="3" t="s">
        <v>809</v>
      </c>
      <c r="C10" s="3" t="s">
        <v>813</v>
      </c>
      <c r="D10" s="3" t="s">
        <v>814</v>
      </c>
    </row>
    <row r="11" ht="35" customHeight="1" spans="1:4">
      <c r="A11" s="3" t="s">
        <v>18</v>
      </c>
      <c r="B11" s="3" t="s">
        <v>809</v>
      </c>
      <c r="C11" s="3" t="s">
        <v>815</v>
      </c>
      <c r="D11" s="3" t="s">
        <v>816</v>
      </c>
    </row>
    <row r="12" ht="35" customHeight="1" spans="1:4">
      <c r="A12" s="3" t="s">
        <v>817</v>
      </c>
      <c r="B12" s="3" t="s">
        <v>818</v>
      </c>
      <c r="C12" s="3" t="s">
        <v>819</v>
      </c>
      <c r="D12" s="3" t="s">
        <v>820</v>
      </c>
    </row>
    <row r="13" ht="35" customHeight="1" spans="1:4">
      <c r="A13" s="3" t="s">
        <v>821</v>
      </c>
      <c r="B13" s="3" t="s">
        <v>822</v>
      </c>
      <c r="C13" s="3" t="s">
        <v>823</v>
      </c>
      <c r="D13" s="3" t="s">
        <v>824</v>
      </c>
    </row>
    <row r="14" ht="35" customHeight="1" spans="1:4">
      <c r="A14" s="3" t="s">
        <v>825</v>
      </c>
      <c r="B14" s="3" t="s">
        <v>826</v>
      </c>
      <c r="C14" s="3" t="s">
        <v>827</v>
      </c>
      <c r="D14" s="3" t="s">
        <v>828</v>
      </c>
    </row>
    <row r="15" ht="35" customHeight="1" spans="1:4">
      <c r="A15" s="3" t="s">
        <v>829</v>
      </c>
      <c r="B15" s="3" t="s">
        <v>830</v>
      </c>
      <c r="C15" s="3" t="s">
        <v>831</v>
      </c>
      <c r="D15" s="3" t="s">
        <v>832</v>
      </c>
    </row>
    <row r="16" ht="35" customHeight="1" spans="1:4">
      <c r="A16" s="3" t="s">
        <v>833</v>
      </c>
      <c r="B16" s="3" t="s">
        <v>830</v>
      </c>
      <c r="C16" s="3" t="s">
        <v>834</v>
      </c>
      <c r="D16" s="3" t="s">
        <v>835</v>
      </c>
    </row>
    <row r="17" ht="35" customHeight="1" spans="1:4">
      <c r="A17" s="3" t="s">
        <v>836</v>
      </c>
      <c r="B17" s="3" t="s">
        <v>837</v>
      </c>
      <c r="C17" s="3" t="s">
        <v>838</v>
      </c>
      <c r="D17" s="3" t="s">
        <v>839</v>
      </c>
    </row>
    <row r="18" ht="35" customHeight="1" spans="1:4">
      <c r="A18" s="3" t="s">
        <v>840</v>
      </c>
      <c r="B18" s="3" t="s">
        <v>841</v>
      </c>
      <c r="C18" s="3" t="s">
        <v>842</v>
      </c>
      <c r="D18" s="3" t="s">
        <v>843</v>
      </c>
    </row>
    <row r="19" ht="35" customHeight="1" spans="1:4">
      <c r="A19" s="3" t="s">
        <v>844</v>
      </c>
      <c r="B19" s="3" t="s">
        <v>845</v>
      </c>
      <c r="C19" s="3" t="s">
        <v>846</v>
      </c>
      <c r="D19" s="3" t="s">
        <v>847</v>
      </c>
    </row>
    <row r="20" ht="35" customHeight="1" spans="1:4">
      <c r="A20" s="3" t="s">
        <v>848</v>
      </c>
      <c r="B20" s="3" t="s">
        <v>849</v>
      </c>
      <c r="C20" s="3" t="s">
        <v>850</v>
      </c>
      <c r="D20" s="3" t="s">
        <v>851</v>
      </c>
    </row>
    <row r="21" ht="35" customHeight="1" spans="1:4">
      <c r="A21" s="3" t="s">
        <v>852</v>
      </c>
      <c r="B21" s="3" t="s">
        <v>853</v>
      </c>
      <c r="C21" s="3" t="s">
        <v>854</v>
      </c>
      <c r="D21" s="3" t="s">
        <v>855</v>
      </c>
    </row>
    <row r="22" ht="35" customHeight="1" spans="1:4">
      <c r="A22" s="3" t="s">
        <v>856</v>
      </c>
      <c r="B22" s="3" t="s">
        <v>857</v>
      </c>
      <c r="C22" s="3" t="s">
        <v>858</v>
      </c>
      <c r="D22" s="3" t="s">
        <v>859</v>
      </c>
    </row>
    <row r="23" ht="35" customHeight="1" spans="1:4">
      <c r="A23" s="3"/>
      <c r="B23" s="3"/>
      <c r="C23" s="3"/>
      <c r="D23" s="3"/>
    </row>
    <row r="24" ht="35" customHeight="1" spans="1:4">
      <c r="A24" s="3"/>
      <c r="B24" s="3"/>
      <c r="C24" s="3"/>
      <c r="D24" s="3"/>
    </row>
    <row r="25" ht="35" customHeight="1" spans="1:4">
      <c r="A25" s="5" t="s">
        <v>860</v>
      </c>
      <c r="B25" s="5"/>
      <c r="C25" s="5"/>
      <c r="D25" s="5"/>
    </row>
    <row r="26" ht="35" customHeight="1" spans="1:4">
      <c r="A26" s="3" t="s">
        <v>861</v>
      </c>
      <c r="B26" s="3" t="s">
        <v>862</v>
      </c>
      <c r="C26" s="3" t="s">
        <v>863</v>
      </c>
      <c r="D26" s="3" t="s">
        <v>864</v>
      </c>
    </row>
    <row r="27" ht="35" customHeight="1" spans="1:4">
      <c r="A27" s="3" t="s">
        <v>865</v>
      </c>
      <c r="B27" s="3" t="s">
        <v>866</v>
      </c>
      <c r="C27" s="3" t="s">
        <v>867</v>
      </c>
      <c r="D27" s="3" t="s">
        <v>868</v>
      </c>
    </row>
    <row r="28" ht="35" customHeight="1" spans="1:4">
      <c r="A28" s="3" t="s">
        <v>869</v>
      </c>
      <c r="B28" s="3" t="s">
        <v>870</v>
      </c>
      <c r="C28" s="3" t="s">
        <v>871</v>
      </c>
      <c r="D28" s="3" t="s">
        <v>872</v>
      </c>
    </row>
    <row r="29" ht="35" customHeight="1" spans="1:4">
      <c r="A29" s="3" t="s">
        <v>873</v>
      </c>
      <c r="B29" s="3" t="s">
        <v>874</v>
      </c>
      <c r="C29" s="3" t="s">
        <v>875</v>
      </c>
      <c r="D29" s="3" t="s">
        <v>876</v>
      </c>
    </row>
    <row r="30" ht="35" customHeight="1" spans="1:4">
      <c r="A30" s="3" t="s">
        <v>877</v>
      </c>
      <c r="B30" s="3" t="s">
        <v>878</v>
      </c>
      <c r="C30" s="3" t="s">
        <v>879</v>
      </c>
      <c r="D30" s="3" t="s">
        <v>880</v>
      </c>
    </row>
    <row r="31" ht="35" customHeight="1" spans="1:4">
      <c r="A31" s="3" t="s">
        <v>881</v>
      </c>
      <c r="B31" s="3" t="s">
        <v>882</v>
      </c>
      <c r="C31" s="3" t="s">
        <v>883</v>
      </c>
      <c r="D31" s="3" t="s">
        <v>884</v>
      </c>
    </row>
    <row r="32" ht="35" customHeight="1" spans="1:4">
      <c r="A32" s="3" t="s">
        <v>885</v>
      </c>
      <c r="B32" s="3" t="s">
        <v>886</v>
      </c>
      <c r="C32" s="3" t="s">
        <v>887</v>
      </c>
      <c r="D32" s="3" t="s">
        <v>888</v>
      </c>
    </row>
  </sheetData>
  <mergeCells count="3">
    <mergeCell ref="A1:D1"/>
    <mergeCell ref="A2:D2"/>
    <mergeCell ref="A25:D25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缺口明细</vt:lpstr>
      <vt:lpstr>已有与参考</vt:lpstr>
      <vt:lpstr>规格与验收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肖恩</cp:lastModifiedBy>
  <dcterms:created xsi:type="dcterms:W3CDTF">2026-07-31T01:18:36Z</dcterms:created>
  <dcterms:modified xsi:type="dcterms:W3CDTF">2026-07-31T01:20:18Z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4EBCC8463031453ABD45D764AE66FD77_12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